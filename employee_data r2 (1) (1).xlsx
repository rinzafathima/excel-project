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F167868D-43C5-4C20-90B0-8E7F2CF0082D}" xr6:coauthVersionLast="47" xr6:coauthVersionMax="47" xr10:uidLastSave="{00000000-0000-0000-0000-000000000000}"/>
  <bookViews>
    <workbookView xWindow="-110" yWindow="-110" windowWidth="19420" windowHeight="10420" firstSheet="10" activeTab="12" xr2:uid="{E9C785D9-1625-43EF-A674-A2828C16CB07}"/>
  </bookViews>
  <sheets>
    <sheet name="RAW DATA" sheetId="1" r:id="rId1"/>
    <sheet name="AGE GROUP COUNT" sheetId="18" r:id="rId2"/>
    <sheet name="AVERAGE SALARY" sheetId="16" r:id="rId3"/>
    <sheet name="MOST EXPERIENCED DEPARTMENT" sheetId="21" r:id="rId4"/>
    <sheet name="ANALYSIS" sheetId="25" r:id="rId5"/>
    <sheet name="EMPLOYEES OF DEPARTMENT" sheetId="23" r:id="rId6"/>
    <sheet name="INSIGHTS" sheetId="26" r:id="rId7"/>
    <sheet name="CHANGE LOG" sheetId="27" r:id="rId8"/>
    <sheet name="QUESTIONS" sheetId="22" r:id="rId9"/>
    <sheet name="MANAGERS AND NON MANAGERS" sheetId="31" r:id="rId10"/>
    <sheet name="Sheet1" sheetId="32" r:id="rId11"/>
    <sheet name="CLEANED DATA" sheetId="4" r:id="rId12"/>
    <sheet name="DASHBOARD" sheetId="5" r:id="rId13"/>
  </sheets>
  <definedNames>
    <definedName name="Slicer_Age_group">#N/A</definedName>
    <definedName name="Slicer_Department">#N/A</definedName>
    <definedName name="Slicer_Is_Manager">#N/A</definedName>
  </definedNames>
  <calcPr calcId="191029"/>
  <pivotCaches>
    <pivotCache cacheId="0" r:id="rId14"/>
    <pivotCache cacheId="3" r:id="rId15"/>
  </pivotCaches>
  <extLs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02" i="4" l="1"/>
  <c r="Q9" i="25"/>
  <c r="Q8" i="25"/>
  <c r="Q7" i="25"/>
  <c r="Q6" i="25"/>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2" i="4"/>
  <c r="B9" i="1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63A6382-A3AD-46E8-85AC-FE1D049B3047}" keepAlive="1" name="Query - Table1" description="Connection to the 'Table1' query in the workbook." type="5" refreshedVersion="0" background="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<sst xmlns="http://schemas.openxmlformats.org/spreadsheetml/2006/main" count="1598" uniqueCount="75">
  <si>
    <t>Index</t>
  </si>
  <si>
    <t>Employee_ID</t>
  </si>
  <si>
    <t>Age</t>
  </si>
  <si>
    <t>Department</t>
  </si>
  <si>
    <t>Is_Manager</t>
  </si>
  <si>
    <t>Join_Date</t>
  </si>
  <si>
    <t>Experience</t>
  </si>
  <si>
    <t>Salary</t>
  </si>
  <si>
    <t>Finance</t>
  </si>
  <si>
    <t>Sales</t>
  </si>
  <si>
    <t>Marketing</t>
  </si>
  <si>
    <t>HR</t>
  </si>
  <si>
    <t>IT</t>
  </si>
  <si>
    <t>Hr</t>
  </si>
  <si>
    <t>It</t>
  </si>
  <si>
    <t>Row Labels</t>
  </si>
  <si>
    <t>Grand Total</t>
  </si>
  <si>
    <t>Count of Employee_ID</t>
  </si>
  <si>
    <t>Average of Salary</t>
  </si>
  <si>
    <t>Age group</t>
  </si>
  <si>
    <t>20-29</t>
  </si>
  <si>
    <t>30-39</t>
  </si>
  <si>
    <t>40-49</t>
  </si>
  <si>
    <t>50-59</t>
  </si>
  <si>
    <t>60+</t>
  </si>
  <si>
    <t>Not manager</t>
  </si>
  <si>
    <t>Manager</t>
  </si>
  <si>
    <t>Count of Experience</t>
  </si>
  <si>
    <t>Dashboard questions</t>
  </si>
  <si>
    <t>How many employees are there in each department?</t>
  </si>
  <si>
    <t>What is the average salary by department?</t>
  </si>
  <si>
    <t>Which department have most experienced employees?</t>
  </si>
  <si>
    <t>How many employees are there in each age group?</t>
  </si>
  <si>
    <t>what is the average experience of employees?</t>
  </si>
  <si>
    <t>what is the average salary of managers?</t>
  </si>
  <si>
    <t>which department have highest salary  variation?</t>
  </si>
  <si>
    <t>how many employees have more than 10 years of experience?</t>
  </si>
  <si>
    <t>Analysis questions</t>
  </si>
  <si>
    <t>how many employees are managers?</t>
  </si>
  <si>
    <t xml:space="preserve">Analysis </t>
  </si>
  <si>
    <t>Change log</t>
  </si>
  <si>
    <t xml:space="preserve">Changed the datatype of date column </t>
  </si>
  <si>
    <t xml:space="preserve">Changed the datatype of currency column </t>
  </si>
  <si>
    <t>Added a age group column</t>
  </si>
  <si>
    <t>Changes</t>
  </si>
  <si>
    <t>Reason</t>
  </si>
  <si>
    <t xml:space="preserve">Changed the format of date  </t>
  </si>
  <si>
    <t xml:space="preserve">Replaced TRUE or FALSE with Manager or Non manager </t>
  </si>
  <si>
    <t>To make data suitable for calculations</t>
  </si>
  <si>
    <t>To make the age data easier to analyze and compare</t>
  </si>
  <si>
    <t xml:space="preserve">To make the age data easier to analyze </t>
  </si>
  <si>
    <t>True or False is not a professional way</t>
  </si>
  <si>
    <t>To make it more impressive</t>
  </si>
  <si>
    <t>(blank)</t>
  </si>
  <si>
    <t>what percentage of employees are managers and non managers?</t>
  </si>
  <si>
    <t>FINDINGS</t>
  </si>
  <si>
    <t>3. Experience and age is strongly associated with salary</t>
  </si>
  <si>
    <t>6.Managers and non managers have similar average salaries</t>
  </si>
  <si>
    <t>RECOMMENDATIONS</t>
  </si>
  <si>
    <t>1.Some employees have very low salary</t>
  </si>
  <si>
    <t>1.review entry level compensation and minimum salary standard</t>
  </si>
  <si>
    <t>3.create career progession and knowledge transfer programs</t>
  </si>
  <si>
    <t>2.IT has highest salary variation</t>
  </si>
  <si>
    <t xml:space="preserve">2.check IT salary difference based on experience,skills and job roles to ensure fair compensation </t>
  </si>
  <si>
    <t>6.Review managerial compensation to ensure it reflects additional responsibility and leadership roles</t>
  </si>
  <si>
    <t>4.Sales has lowest average salary</t>
  </si>
  <si>
    <t>4.review sales salary and incentive sturcture</t>
  </si>
  <si>
    <t>5.Marketing has the highest average salary</t>
  </si>
  <si>
    <t>5.Maintain competitive pay to retain skilled employees</t>
  </si>
  <si>
    <t>Changed index number starting from 0 to 1</t>
  </si>
  <si>
    <t>All index number begins with 1</t>
  </si>
  <si>
    <t>Changed the colour of cells and inserted border</t>
  </si>
  <si>
    <t xml:space="preserve">Removed duplicates </t>
  </si>
  <si>
    <t>To get unique ID</t>
  </si>
  <si>
    <t>Count of Is_Manager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</si>
</sst>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860]\ #,##0"/>
    <numFmt numFmtId="165" formatCode="yyyy\-mm\-dd;@"/>
    <numFmt numFmtId="166" formatCode="[$₹-460]\ #,##0.00"/>
    <numFmt numFmtId="167" formatCode="[$₹-860]\ #,##0.00"/>
  </numFmts>
  <fonts count="26"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i/>
      <sz val="12"/>
      <color theme="1"/>
      <name val="Calibri Light"/>
      <family val="2"/>
    </font>
    <font>
      <i/>
      <sz val="11"/>
      <color theme="1"/>
      <name val="Aptos Narrow"/>
      <family val="2"/>
      <scheme val="minor"/>
    </font>
    <font>
      <b/>
      <i/>
      <sz val="11"/>
      <color theme="1"/>
      <name val="Aptos Narrow"/>
      <family val="2"/>
      <scheme val="minor"/>
    </font>
    <font>
      <b/>
      <i/>
      <sz val="24"/>
      <color theme="1"/>
      <name val="Aptos Narrow"/>
      <family val="2"/>
      <scheme val="minor"/>
    </font>
    <font>
      <b/>
      <i/>
      <sz val="22"/>
      <color theme="1"/>
      <name val="Aptos Narrow"/>
      <family val="2"/>
      <scheme val="minor"/>
    </font>
    <font>
      <i/>
      <sz val="20"/>
      <color theme="1"/>
      <name val="Calisto MT"/>
      <family val="1"/>
    </font>
    <font>
      <i/>
      <sz val="20"/>
      <color theme="1"/>
      <name val="Aptos Narrow"/>
      <family val="2"/>
      <scheme val="minor"/>
    </font>
    <font>
      <b/>
      <i/>
      <sz val="36"/>
      <color theme="1"/>
      <name val="Bahnschrift Light Condensed"/>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3" tint="0.749992370372631"/>
        <bgColor indexed="64"/>
      </patternFill>
    </fill>
    <fill>
      <patternFill patternType="solid">
        <fgColor theme="3" tint="0.89999084444715716"/>
        <bgColor indexed="64"/>
      </patternFill>
    </fill>
    <fill>
      <patternFill patternType="solid">
        <fgColor theme="4" tint="0.59999389629810485"/>
        <bgColor indexed="64"/>
      </patternFill>
    </fill>
  </fills>
  <borders count="3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7">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6" fontId="0" fillId="0" borderId="0" xfId="0" applyNumberFormat="1"/>
    <xf numFmtId="167" fontId="0" fillId="0" borderId="0" xfId="0" applyNumberFormat="1"/>
    <xf numFmtId="10" fontId="0" fillId="0" borderId="0" xfId="0" applyNumberFormat="1"/>
    <xf numFmtId="0" fontId="1" fillId="35" borderId="14" xfId="23" applyFill="1" applyBorder="1"/>
    <xf numFmtId="0" fontId="1" fillId="35" borderId="10" xfId="23" applyFill="1" applyBorder="1"/>
    <xf numFmtId="165" fontId="1" fillId="35" borderId="10" xfId="23" applyNumberFormat="1" applyFill="1" applyBorder="1"/>
    <xf numFmtId="164" fontId="1" fillId="35" borderId="10" xfId="23" applyNumberFormat="1" applyFill="1" applyBorder="1"/>
    <xf numFmtId="0" fontId="1" fillId="35" borderId="15" xfId="23" applyFill="1" applyBorder="1"/>
    <xf numFmtId="0" fontId="0" fillId="35" borderId="10" xfId="23" applyFont="1" applyFill="1" applyBorder="1"/>
    <xf numFmtId="0" fontId="1" fillId="35" borderId="16" xfId="23" applyFill="1" applyBorder="1"/>
    <xf numFmtId="0" fontId="1" fillId="35" borderId="17" xfId="23" applyFill="1" applyBorder="1"/>
    <xf numFmtId="165" fontId="1" fillId="35" borderId="17" xfId="23" applyNumberFormat="1" applyFill="1" applyBorder="1"/>
    <xf numFmtId="164" fontId="1" fillId="35" borderId="17" xfId="23" applyNumberFormat="1" applyFill="1" applyBorder="1"/>
    <xf numFmtId="0" fontId="1" fillId="35" borderId="18" xfId="23" applyFill="1" applyBorder="1"/>
    <xf numFmtId="0" fontId="18" fillId="34" borderId="11" xfId="23" applyFont="1" applyFill="1" applyBorder="1"/>
    <xf numFmtId="0" fontId="18" fillId="34" borderId="12" xfId="23" applyFont="1" applyFill="1" applyBorder="1"/>
    <xf numFmtId="165" fontId="18" fillId="34" borderId="12" xfId="23" applyNumberFormat="1" applyFont="1" applyFill="1" applyBorder="1"/>
    <xf numFmtId="164" fontId="18" fillId="34" borderId="12" xfId="23" applyNumberFormat="1" applyFont="1" applyFill="1" applyBorder="1"/>
    <xf numFmtId="0" fontId="18" fillId="34" borderId="13" xfId="23" applyFont="1" applyFill="1" applyBorder="1"/>
    <xf numFmtId="0" fontId="19" fillId="35" borderId="22" xfId="0" applyFont="1" applyFill="1" applyBorder="1"/>
    <xf numFmtId="0" fontId="19" fillId="35" borderId="0" xfId="0" applyFont="1" applyFill="1"/>
    <xf numFmtId="0" fontId="20" fillId="35" borderId="23" xfId="0" applyFont="1" applyFill="1" applyBorder="1"/>
    <xf numFmtId="166" fontId="20" fillId="35" borderId="23" xfId="0" applyNumberFormat="1" applyFont="1" applyFill="1" applyBorder="1"/>
    <xf numFmtId="0" fontId="19" fillId="35" borderId="24" xfId="0" applyFont="1" applyFill="1" applyBorder="1"/>
    <xf numFmtId="0" fontId="19" fillId="35" borderId="25" xfId="0" applyFont="1" applyFill="1" applyBorder="1"/>
    <xf numFmtId="0" fontId="20" fillId="35" borderId="26" xfId="0" applyFont="1" applyFill="1" applyBorder="1"/>
    <xf numFmtId="0" fontId="0" fillId="33" borderId="22" xfId="0" applyFill="1" applyBorder="1"/>
    <xf numFmtId="0" fontId="0" fillId="33" borderId="0" xfId="0" applyFill="1"/>
    <xf numFmtId="0" fontId="0" fillId="33" borderId="23" xfId="0" applyFill="1" applyBorder="1"/>
    <xf numFmtId="0" fontId="0" fillId="33" borderId="24" xfId="0" applyFill="1" applyBorder="1"/>
    <xf numFmtId="0" fontId="0" fillId="33" borderId="25" xfId="0" applyFill="1" applyBorder="1"/>
    <xf numFmtId="0" fontId="0" fillId="33" borderId="26" xfId="0" applyFill="1" applyBorder="1"/>
    <xf numFmtId="0" fontId="0" fillId="0" borderId="0" xfId="0" applyAlignment="1">
      <alignment vertical="top"/>
    </xf>
    <xf numFmtId="0" fontId="0" fillId="35" borderId="22" xfId="0" applyFill="1" applyBorder="1"/>
    <xf numFmtId="0" fontId="0" fillId="35" borderId="0" xfId="0" applyFill="1"/>
    <xf numFmtId="0" fontId="0" fillId="35" borderId="23" xfId="0" applyFill="1" applyBorder="1"/>
    <xf numFmtId="0" fontId="0" fillId="35" borderId="24" xfId="0" applyFill="1" applyBorder="1"/>
    <xf numFmtId="0" fontId="0" fillId="35" borderId="25" xfId="0" applyFill="1" applyBorder="1"/>
    <xf numFmtId="0" fontId="0" fillId="35" borderId="26" xfId="0" applyFill="1" applyBorder="1"/>
    <xf numFmtId="0" fontId="0" fillId="35" borderId="24" xfId="0" applyFill="1" applyBorder="1" applyAlignment="1">
      <alignment vertical="top"/>
    </xf>
    <xf numFmtId="0" fontId="0" fillId="35" borderId="25" xfId="0" applyFill="1" applyBorder="1" applyAlignment="1">
      <alignment vertical="top"/>
    </xf>
    <xf numFmtId="0" fontId="0" fillId="35" borderId="26" xfId="0" applyFill="1" applyBorder="1" applyAlignment="1">
      <alignment vertical="top"/>
    </xf>
    <xf numFmtId="0" fontId="0" fillId="36" borderId="27" xfId="0" applyFill="1" applyBorder="1" applyAlignment="1">
      <alignment horizontal="center"/>
    </xf>
    <xf numFmtId="0" fontId="0" fillId="36" borderId="28" xfId="0" applyFill="1" applyBorder="1" applyAlignment="1">
      <alignment horizontal="center"/>
    </xf>
    <xf numFmtId="0" fontId="0" fillId="36" borderId="29" xfId="0" applyFill="1" applyBorder="1" applyAlignment="1">
      <alignment horizontal="center"/>
    </xf>
    <xf numFmtId="0" fontId="23" fillId="34" borderId="19" xfId="0" applyFont="1" applyFill="1" applyBorder="1" applyAlignment="1">
      <alignment horizontal="center"/>
    </xf>
    <xf numFmtId="0" fontId="0" fillId="34" borderId="20" xfId="0" applyFill="1" applyBorder="1" applyAlignment="1">
      <alignment horizontal="center"/>
    </xf>
    <xf numFmtId="0" fontId="0" fillId="34" borderId="21" xfId="0" applyFill="1" applyBorder="1" applyAlignment="1">
      <alignment horizontal="center"/>
    </xf>
    <xf numFmtId="0" fontId="0" fillId="34" borderId="22" xfId="0" applyFill="1" applyBorder="1" applyAlignment="1">
      <alignment horizontal="center"/>
    </xf>
    <xf numFmtId="0" fontId="0" fillId="34" borderId="0" xfId="0" applyFill="1" applyAlignment="1">
      <alignment horizontal="center"/>
    </xf>
    <xf numFmtId="0" fontId="0" fillId="34" borderId="23" xfId="0" applyFill="1" applyBorder="1" applyAlignment="1">
      <alignment horizontal="center"/>
    </xf>
    <xf numFmtId="0" fontId="22" fillId="36" borderId="19" xfId="0" applyFont="1" applyFill="1" applyBorder="1" applyAlignment="1">
      <alignment horizontal="center"/>
    </xf>
    <xf numFmtId="0" fontId="22" fillId="36" borderId="20" xfId="0" applyFont="1" applyFill="1" applyBorder="1" applyAlignment="1">
      <alignment horizontal="center"/>
    </xf>
    <xf numFmtId="0" fontId="22" fillId="36" borderId="21" xfId="0" applyFont="1" applyFill="1" applyBorder="1" applyAlignment="1">
      <alignment horizontal="center"/>
    </xf>
    <xf numFmtId="0" fontId="22" fillId="36" borderId="22" xfId="0" applyFont="1" applyFill="1" applyBorder="1" applyAlignment="1">
      <alignment horizontal="center"/>
    </xf>
    <xf numFmtId="0" fontId="22" fillId="36" borderId="0" xfId="0" applyFont="1" applyFill="1" applyAlignment="1">
      <alignment horizontal="center"/>
    </xf>
    <xf numFmtId="0" fontId="22" fillId="36" borderId="23" xfId="0" applyFont="1" applyFill="1" applyBorder="1" applyAlignment="1">
      <alignment horizontal="center"/>
    </xf>
    <xf numFmtId="0" fontId="21" fillId="36" borderId="19" xfId="0" applyFont="1" applyFill="1" applyBorder="1" applyAlignment="1">
      <alignment horizontal="center"/>
    </xf>
    <xf numFmtId="0" fontId="21" fillId="36" borderId="20" xfId="0" applyFont="1" applyFill="1" applyBorder="1" applyAlignment="1">
      <alignment horizontal="center"/>
    </xf>
    <xf numFmtId="0" fontId="21" fillId="36" borderId="21" xfId="0" applyFont="1" applyFill="1" applyBorder="1" applyAlignment="1">
      <alignment horizontal="center"/>
    </xf>
    <xf numFmtId="0" fontId="21" fillId="36" borderId="22" xfId="0" applyFont="1" applyFill="1" applyBorder="1" applyAlignment="1">
      <alignment horizontal="center"/>
    </xf>
    <xf numFmtId="0" fontId="21" fillId="36" borderId="0" xfId="0" applyFont="1" applyFill="1" applyAlignment="1">
      <alignment horizontal="center"/>
    </xf>
    <xf numFmtId="0" fontId="21" fillId="36" borderId="23" xfId="0" applyFont="1" applyFill="1" applyBorder="1" applyAlignment="1">
      <alignment horizontal="center"/>
    </xf>
    <xf numFmtId="0" fontId="25" fillId="36" borderId="19" xfId="0" applyFont="1" applyFill="1" applyBorder="1" applyAlignment="1">
      <alignment horizontal="center"/>
    </xf>
    <xf numFmtId="0" fontId="25" fillId="36" borderId="20" xfId="0" applyFont="1" applyFill="1" applyBorder="1" applyAlignment="1">
      <alignment horizontal="center"/>
    </xf>
    <xf numFmtId="0" fontId="25" fillId="36" borderId="21" xfId="0" applyFont="1" applyFill="1" applyBorder="1" applyAlignment="1">
      <alignment horizontal="center"/>
    </xf>
    <xf numFmtId="0" fontId="25" fillId="36" borderId="22" xfId="0" applyFont="1" applyFill="1" applyBorder="1" applyAlignment="1">
      <alignment horizontal="center"/>
    </xf>
    <xf numFmtId="0" fontId="25" fillId="36" borderId="0" xfId="0" applyFont="1" applyFill="1" applyAlignment="1">
      <alignment horizontal="center"/>
    </xf>
    <xf numFmtId="0" fontId="25" fillId="36" borderId="23" xfId="0" applyFont="1" applyFill="1" applyBorder="1" applyAlignment="1">
      <alignment horizontal="center"/>
    </xf>
    <xf numFmtId="0" fontId="25" fillId="36" borderId="24" xfId="0" applyFont="1" applyFill="1" applyBorder="1" applyAlignment="1">
      <alignment horizontal="center"/>
    </xf>
    <xf numFmtId="0" fontId="25" fillId="36" borderId="25" xfId="0" applyFont="1" applyFill="1" applyBorder="1" applyAlignment="1">
      <alignment horizontal="center"/>
    </xf>
    <xf numFmtId="0" fontId="25" fillId="36" borderId="26" xfId="0" applyFont="1" applyFill="1" applyBorder="1" applyAlignment="1">
      <alignment horizontal="center"/>
    </xf>
    <xf numFmtId="0" fontId="19" fillId="35" borderId="22" xfId="0" applyFont="1" applyFill="1" applyBorder="1" applyAlignment="1">
      <alignment horizontal="center"/>
    </xf>
    <xf numFmtId="0" fontId="19" fillId="35" borderId="0" xfId="0" applyFont="1" applyFill="1" applyAlignment="1">
      <alignment horizontal="center"/>
    </xf>
    <xf numFmtId="0" fontId="19" fillId="35" borderId="23" xfId="0" applyFont="1" applyFill="1" applyBorder="1" applyAlignment="1">
      <alignment horizontal="center"/>
    </xf>
    <xf numFmtId="0" fontId="19" fillId="35" borderId="24" xfId="0" applyFont="1" applyFill="1" applyBorder="1" applyAlignment="1">
      <alignment horizontal="center"/>
    </xf>
    <xf numFmtId="0" fontId="19" fillId="35" borderId="25" xfId="0" applyFont="1" applyFill="1" applyBorder="1" applyAlignment="1">
      <alignment horizontal="center"/>
    </xf>
    <xf numFmtId="0" fontId="19" fillId="35" borderId="26" xfId="0" applyFont="1" applyFill="1" applyBorder="1" applyAlignment="1">
      <alignment horizontal="center"/>
    </xf>
    <xf numFmtId="0" fontId="24" fillId="34" borderId="19" xfId="0" applyFont="1" applyFill="1" applyBorder="1" applyAlignment="1">
      <alignment horizontal="center"/>
    </xf>
    <xf numFmtId="0" fontId="0" fillId="33" borderId="0" xfId="0"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fill>
        <gradientFill type="path" degree="180" left="0.5" right="0.5" top="0.5" bottom="0.5">
          <stop position="0">
            <color theme="4"/>
          </stop>
          <stop position="1">
            <color theme="0"/>
          </stop>
        </gradientFill>
      </fill>
    </dxf>
    <dxf>
      <font>
        <b/>
        <i/>
        <sz val="11"/>
        <color rgb="FF0070C0"/>
        <name val="Arial"/>
        <family val="2"/>
        <scheme val="none"/>
      </font>
    </dxf>
    <dxf>
      <fill>
        <patternFill patternType="none">
          <bgColor auto="1"/>
        </patternFill>
      </fill>
    </dxf>
    <dxf>
      <fill>
        <patternFill>
          <bgColor theme="7" tint="-0.499984740745262"/>
        </patternFill>
      </fill>
    </dxf>
  </dxfs>
  <tableStyles count="10" defaultTableStyle="TableStyleMedium2" defaultPivotStyle="PivotStyleLight16">
    <tableStyle name="Slicer Style 1" pivot="0" table="0" count="1" xr9:uid="{EE70629C-47FB-42CD-8102-B52125B037C5}">
      <tableStyleElement type="wholeTable" dxfId="3"/>
    </tableStyle>
    <tableStyle name="Slicer Style 10" pivot="0" table="0" count="1" xr9:uid="{D7D71D3E-F8CC-45E7-A5CE-0486150E8D83}"/>
    <tableStyle name="Slicer Style 2" pivot="0" table="0" count="1" xr9:uid="{2856D6C7-AF18-4A52-9984-CA7E4340F85B}">
      <tableStyleElement type="wholeTable" dxfId="2"/>
    </tableStyle>
    <tableStyle name="Slicer Style 3" pivot="0" table="0" count="1" xr9:uid="{AF29A3A8-F081-4999-BD3C-0AD086A2AF96}">
      <tableStyleElement type="wholeTable" dxfId="1"/>
    </tableStyle>
    <tableStyle name="Slicer Style 4" pivot="0" table="0" count="2" xr9:uid="{735F408F-5B3A-4CD4-BDBF-FC353706EBD5}">
      <tableStyleElement type="wholeTable" dxfId="0"/>
    </tableStyle>
    <tableStyle name="Slicer Style 5" pivot="0" table="0" count="1" xr9:uid="{43FFFE3D-6E23-4B10-817F-F56F186C2320}"/>
    <tableStyle name="Slicer Style 6" pivot="0" table="0" count="1" xr9:uid="{EEB3900D-81A7-43F5-9A1C-6154F04CF8BA}"/>
    <tableStyle name="Slicer Style 7" pivot="0" table="0" count="1" xr9:uid="{79C06C84-CB77-449E-9684-395FED3CF08B}"/>
    <tableStyle name="Slicer Style 8" pivot="0" table="0" count="1" xr9:uid="{16B1D2FF-FFCE-4C32-945A-7DC395A7B6D8}"/>
    <tableStyle name="Slicer Style 9" pivot="0" table="0" count="1" xr9:uid="{34FCBBA1-A27D-4DEC-8D3A-5E66455EBC9F}"/>
  </tableStyles>
  <colors>
    <mruColors>
      <color rgb="FF156081"/>
      <color rgb="FF041016"/>
      <color rgb="FF0A0C4E"/>
      <color rgb="FF94DDF4"/>
      <color rgb="FFE296E4"/>
      <color rgb="FFB78FB7"/>
      <color rgb="FFE3EFF1"/>
      <color rgb="FFCDE2E9"/>
      <color rgb="FF6270F4"/>
      <color rgb="FF198ABD"/>
    </mruColors>
  </colors>
  <extLst>
    <ext xmlns:x14="http://schemas.microsoft.com/office/spreadsheetml/2009/9/main" uri="{46F421CA-312F-682f-3DD2-61675219B42D}">
      <x14:dxfs count="7">
        <dxf>
          <fill>
            <gradientFill degree="135">
              <stop position="0">
                <color theme="3"/>
              </stop>
              <stop position="1">
                <color theme="4"/>
              </stop>
            </gradientFill>
          </fill>
        </dxf>
        <dxf>
          <fill>
            <gradientFill degree="90">
              <stop position="0">
                <color theme="3"/>
              </stop>
              <stop position="1">
                <color theme="4"/>
              </stop>
            </gradientFill>
          </fill>
        </dxf>
        <dxf>
          <fill>
            <patternFill>
              <bgColor theme="7" tint="-0.499984740745262"/>
            </patternFill>
          </fill>
        </dxf>
        <dxf>
          <fill>
            <patternFill patternType="solid">
              <bgColor theme="7" tint="-0.499984740745262"/>
            </patternFill>
          </fill>
          <border>
            <left style="thin">
              <color auto="1"/>
            </left>
            <right style="thin">
              <color auto="1"/>
            </right>
            <top style="thin">
              <color auto="1"/>
            </top>
            <bottom style="thin">
              <color auto="1"/>
            </bottom>
          </border>
        </dxf>
        <dxf>
          <fill>
            <patternFill>
              <bgColor theme="4"/>
            </patternFill>
          </fill>
        </dxf>
        <dxf>
          <fill>
            <patternFill>
              <bgColor theme="4" tint="0.79998168889431442"/>
            </patternFill>
          </fill>
        </dxf>
        <dxf>
          <fill>
            <patternFill>
              <bgColor theme="0" tint="-4.9989318521683403E-2"/>
            </patternFill>
          </fill>
        </dxf>
      </x14:dxfs>
    </ext>
    <ext xmlns:x14="http://schemas.microsoft.com/office/spreadsheetml/2009/9/main" uri="{EB79DEF2-80B8-43e5-95BD-54CBDDF9020C}">
      <x14:slicerStyles defaultSlicerStyle="SlicerStyleLight1">
        <x14:slicerStyle name="Slicer Style 1"/>
        <x14:slicerStyle name="Slicer Style 10">
          <x14:slicerStyleElements>
            <x14:slicerStyleElement type="selectedItemWithData" dxfId="6"/>
          </x14:slicerStyleElements>
        </x14:slicerStyle>
        <x14:slicerStyle name="Slicer Style 2"/>
        <x14:slicerStyle name="Slicer Style 3"/>
        <x14:slicerStyle name="Slicer Style 4">
          <x14:slicerStyleElements>
            <x14:slicerStyleElement type="selectedItemWithData" dxfId="5"/>
          </x14:slicerStyleElements>
        </x14:slicerStyle>
        <x14:slicerStyle name="Slicer Style 5">
          <x14:slicerStyleElements>
            <x14:slicerStyleElement type="selectedItemWithData" dxfId="4"/>
          </x14:slicerStyleElements>
        </x14:slicerStyle>
        <x14:slicerStyle name="Slicer Style 6">
          <x14:slicerStyleElements>
            <x14:slicerStyleElement type="selectedItemWithData" dxfId="3"/>
          </x14:slicerStyleElements>
        </x14:slicerStyle>
        <x14:slicerStyle name="Slicer Style 7">
          <x14:slicerStyleElements>
            <x14:slicerStyleElement type="selectedItemWithNoData" dxfId="2"/>
          </x14:slicerStyleElements>
        </x14:slicerStyle>
        <x14:slicerStyle name="Slicer Style 8">
          <x14:slicerStyleElements>
            <x14:slicerStyleElement type="selectedItemWithData" dxfId="1"/>
          </x14:slicerStyleElements>
        </x14:slicerStyle>
        <x14:slicerStyle name="Slicer Style 9">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 r2 (1).xlsx]AGE GROUP COUNT!PivotTable5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barChart>
        <c:barDir val="bar"/>
        <c:grouping val="clustered"/>
        <c:varyColors val="0"/>
        <c:ser>
          <c:idx val="0"/>
          <c:order val="0"/>
          <c:tx>
            <c:strRef>
              <c:f>'AGE GROUP COUNT'!$B$3</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038D-4087-A137-709E40CA7557}"/>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038D-4087-A137-709E40CA7557}"/>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038D-4087-A137-709E40CA7557}"/>
              </c:ext>
            </c:extLst>
          </c:dPt>
          <c:dPt>
            <c:idx val="3"/>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7-038D-4087-A137-709E40CA7557}"/>
              </c:ext>
            </c:extLst>
          </c:dPt>
          <c:dPt>
            <c:idx val="4"/>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9-038D-4087-A137-709E40CA7557}"/>
              </c:ext>
            </c:extLst>
          </c:dPt>
          <c:cat>
            <c:strRef>
              <c:f>'AGE GROUP COUNT'!$A$4:$A$9</c:f>
              <c:strCache>
                <c:ptCount val="5"/>
                <c:pt idx="0">
                  <c:v>20-29</c:v>
                </c:pt>
                <c:pt idx="1">
                  <c:v>30-39</c:v>
                </c:pt>
                <c:pt idx="2">
                  <c:v>40-49</c:v>
                </c:pt>
                <c:pt idx="3">
                  <c:v>50-59</c:v>
                </c:pt>
                <c:pt idx="4">
                  <c:v>60+</c:v>
                </c:pt>
              </c:strCache>
            </c:strRef>
          </c:cat>
          <c:val>
            <c:numRef>
              <c:f>'AGE GROUP COUNT'!$B$4:$B$9</c:f>
              <c:numCache>
                <c:formatCode>General</c:formatCode>
                <c:ptCount val="5"/>
                <c:pt idx="0">
                  <c:v>77</c:v>
                </c:pt>
                <c:pt idx="1">
                  <c:v>106</c:v>
                </c:pt>
                <c:pt idx="2">
                  <c:v>147</c:v>
                </c:pt>
                <c:pt idx="3">
                  <c:v>112</c:v>
                </c:pt>
                <c:pt idx="4">
                  <c:v>58</c:v>
                </c:pt>
              </c:numCache>
            </c:numRef>
          </c:val>
          <c:extLst>
            <c:ext xmlns:c16="http://schemas.microsoft.com/office/drawing/2014/chart" uri="{C3380CC4-5D6E-409C-BE32-E72D297353CC}">
              <c16:uniqueId val="{00000000-056E-4386-BEC9-255A2A2EE06A}"/>
            </c:ext>
          </c:extLst>
        </c:ser>
        <c:dLbls>
          <c:showLegendKey val="0"/>
          <c:showVal val="0"/>
          <c:showCatName val="0"/>
          <c:showSerName val="0"/>
          <c:showPercent val="0"/>
          <c:showBubbleSize val="0"/>
        </c:dLbls>
        <c:gapWidth val="100"/>
        <c:axId val="75513679"/>
        <c:axId val="48020863"/>
      </c:barChart>
      <c:valAx>
        <c:axId val="480208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513679"/>
        <c:crosses val="autoZero"/>
        <c:crossBetween val="between"/>
      </c:valAx>
      <c:catAx>
        <c:axId val="7551367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2086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 r2 (1).xlsx]MOST EXPERIENCED DEPARTMENT!PivotTable8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'MOST EXPERIENCED DEPARTMENT'!$B$3</c:f>
              <c:strCache>
                <c:ptCount val="1"/>
                <c:pt idx="0">
                  <c:v>Total</c:v>
                </c:pt>
              </c:strCache>
            </c:strRef>
          </c:tx>
          <c:spPr>
            <a:solidFill>
              <a:schemeClr val="accent1"/>
            </a:solidFill>
            <a:ln>
              <a:noFill/>
            </a:ln>
            <a:effectLst/>
          </c:spPr>
          <c:invertIfNegative val="0"/>
          <c:cat>
            <c:strRef>
              <c:f>'MOST EXPERIENCED DEPARTMENT'!$A$4:$A$9</c:f>
              <c:strCache>
                <c:ptCount val="5"/>
                <c:pt idx="0">
                  <c:v>Finance</c:v>
                </c:pt>
                <c:pt idx="1">
                  <c:v>Hr</c:v>
                </c:pt>
                <c:pt idx="2">
                  <c:v>It</c:v>
                </c:pt>
                <c:pt idx="3">
                  <c:v>Marketing</c:v>
                </c:pt>
                <c:pt idx="4">
                  <c:v>Sales</c:v>
                </c:pt>
              </c:strCache>
            </c:strRef>
          </c:cat>
          <c:val>
            <c:numRef>
              <c:f>'MOST EXPERIENCED DEPARTMENT'!$B$4:$B$9</c:f>
              <c:numCache>
                <c:formatCode>General</c:formatCode>
                <c:ptCount val="5"/>
                <c:pt idx="0">
                  <c:v>102</c:v>
                </c:pt>
                <c:pt idx="1">
                  <c:v>87</c:v>
                </c:pt>
                <c:pt idx="2">
                  <c:v>110</c:v>
                </c:pt>
                <c:pt idx="3">
                  <c:v>95</c:v>
                </c:pt>
                <c:pt idx="4">
                  <c:v>106</c:v>
                </c:pt>
              </c:numCache>
            </c:numRef>
          </c:val>
          <c:extLst>
            <c:ext xmlns:c16="http://schemas.microsoft.com/office/drawing/2014/chart" uri="{C3380CC4-5D6E-409C-BE32-E72D297353CC}">
              <c16:uniqueId val="{00000000-EA4B-4188-8F42-ABD613AA4F78}"/>
            </c:ext>
          </c:extLst>
        </c:ser>
        <c:dLbls>
          <c:showLegendKey val="0"/>
          <c:showVal val="0"/>
          <c:showCatName val="0"/>
          <c:showSerName val="0"/>
          <c:showPercent val="0"/>
          <c:showBubbleSize val="0"/>
        </c:dLbls>
        <c:gapWidth val="219"/>
        <c:overlap val="-27"/>
        <c:axId val="1774052623"/>
        <c:axId val="1790198175"/>
      </c:barChart>
      <c:catAx>
        <c:axId val="1774052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198175"/>
        <c:crosses val="autoZero"/>
        <c:auto val="1"/>
        <c:lblAlgn val="ctr"/>
        <c:lblOffset val="100"/>
        <c:noMultiLvlLbl val="0"/>
      </c:catAx>
      <c:valAx>
        <c:axId val="1790198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4052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 r2 (1).xlsx]EMPLOYEES OF DEPARTMENT!PivotTable1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'EMPLOYEES OF DEPARTMENT'!$A$3</c:f>
              <c:strCache>
                <c:ptCount val="1"/>
                <c:pt idx="0">
                  <c:v>Total</c:v>
                </c:pt>
              </c:strCache>
            </c:strRef>
          </c:tx>
          <c:spPr>
            <a:solidFill>
              <a:schemeClr val="accent1"/>
            </a:solidFill>
            <a:ln>
              <a:noFill/>
            </a:ln>
            <a:effectLst/>
            <a:sp3d/>
          </c:spPr>
          <c:invertIfNegative val="0"/>
          <c:cat>
            <c:strRef>
              <c:f>'EMPLOYEES OF DEPARTMENT'!$A$4</c:f>
              <c:strCache>
                <c:ptCount val="1"/>
                <c:pt idx="0">
                  <c:v>Total</c:v>
                </c:pt>
              </c:strCache>
            </c:strRef>
          </c:cat>
          <c:val>
            <c:numRef>
              <c:f>'EMPLOYEES OF DEPARTMENT'!$A$4</c:f>
              <c:numCache>
                <c:formatCode>General</c:formatCode>
                <c:ptCount val="1"/>
                <c:pt idx="0">
                  <c:v>106</c:v>
                </c:pt>
              </c:numCache>
            </c:numRef>
          </c:val>
          <c:extLst>
            <c:ext xmlns:c16="http://schemas.microsoft.com/office/drawing/2014/chart" uri="{C3380CC4-5D6E-409C-BE32-E72D297353CC}">
              <c16:uniqueId val="{00000000-2496-44CB-9B76-FB4366E6ED0D}"/>
            </c:ext>
          </c:extLst>
        </c:ser>
        <c:dLbls>
          <c:showLegendKey val="0"/>
          <c:showVal val="0"/>
          <c:showCatName val="0"/>
          <c:showSerName val="0"/>
          <c:showPercent val="0"/>
          <c:showBubbleSize val="0"/>
        </c:dLbls>
        <c:gapWidth val="150"/>
        <c:shape val="box"/>
        <c:axId val="1296823519"/>
        <c:axId val="1017425983"/>
        <c:axId val="0"/>
      </c:bar3DChart>
      <c:catAx>
        <c:axId val="12968235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425983"/>
        <c:crosses val="autoZero"/>
        <c:auto val="1"/>
        <c:lblAlgn val="ctr"/>
        <c:lblOffset val="100"/>
        <c:noMultiLvlLbl val="0"/>
      </c:catAx>
      <c:valAx>
        <c:axId val="1017425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823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 r2 (1).xlsx]MANAGERS AND NON MANAGERS!PivotTable1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'MANAGERS AND NON MANAGERS'!$B$3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C789-4245-800E-0492A22FDE4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C789-4245-800E-0492A22FDE46}"/>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C789-4245-800E-0492A22FDE46}"/>
              </c:ext>
            </c:extLst>
          </c:dPt>
          <c:cat>
            <c:strRef>
              <c:f>'MANAGERS AND NON MANAGERS'!$A$4:$A$7</c:f>
              <c:strCache>
                <c:ptCount val="3"/>
                <c:pt idx="0">
                  <c:v>Manager</c:v>
                </c:pt>
                <c:pt idx="1">
                  <c:v>Not manager</c:v>
                </c:pt>
                <c:pt idx="2">
                  <c:v>(blank)</c:v>
                </c:pt>
              </c:strCache>
            </c:strRef>
          </c:cat>
          <c:val>
            <c:numRef>
              <c:f>'MANAGERS AND NON MANAGERS'!$B$4:$B$7</c:f>
              <c:numCache>
                <c:formatCode>0.00%</c:formatCode>
                <c:ptCount val="3"/>
                <c:pt idx="0">
                  <c:v>0.51400000000000001</c:v>
                </c:pt>
                <c:pt idx="1">
                  <c:v>0.48599999999999999</c:v>
                </c:pt>
                <c:pt idx="2">
                  <c:v>0</c:v>
                </c:pt>
              </c:numCache>
            </c:numRef>
          </c:val>
          <c:extLst>
            <c:ext xmlns:c16="http://schemas.microsoft.com/office/drawing/2014/chart" uri="{C3380CC4-5D6E-409C-BE32-E72D297353CC}">
              <c16:uniqueId val="{00000000-89CC-455E-B03A-2155A4EE85CB}"/>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 r2 (1).xlsx]Sheet1!PivotTable1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Sheet1!$A$4:$A$9</c:f>
              <c:strCache>
                <c:ptCount val="5"/>
                <c:pt idx="0">
                  <c:v>20-29</c:v>
                </c:pt>
                <c:pt idx="1">
                  <c:v>30-39</c:v>
                </c:pt>
                <c:pt idx="2">
                  <c:v>40-49</c:v>
                </c:pt>
                <c:pt idx="3">
                  <c:v>50-59</c:v>
                </c:pt>
                <c:pt idx="4">
                  <c:v>60+</c:v>
                </c:pt>
              </c:strCache>
            </c:strRef>
          </c:cat>
          <c:val>
            <c:numRef>
              <c:f>Sheet1!$B$4:$B$9</c:f>
              <c:numCache>
                <c:formatCode>General</c:formatCode>
                <c:ptCount val="5"/>
                <c:pt idx="0">
                  <c:v>38</c:v>
                </c:pt>
                <c:pt idx="1">
                  <c:v>53</c:v>
                </c:pt>
                <c:pt idx="2">
                  <c:v>80</c:v>
                </c:pt>
                <c:pt idx="3">
                  <c:v>60</c:v>
                </c:pt>
                <c:pt idx="4">
                  <c:v>26</c:v>
                </c:pt>
              </c:numCache>
            </c:numRef>
          </c:val>
          <c:extLst>
            <c:ext xmlns:c16="http://schemas.microsoft.com/office/drawing/2014/chart" uri="{C3380CC4-5D6E-409C-BE32-E72D297353CC}">
              <c16:uniqueId val="{00000005-1D55-4562-9DD4-2B07C51393E8}"/>
            </c:ext>
          </c:extLst>
        </c:ser>
        <c:dLbls>
          <c:dLblPos val="outEnd"/>
          <c:showLegendKey val="0"/>
          <c:showVal val="1"/>
          <c:showCatName val="0"/>
          <c:showSerName val="0"/>
          <c:showPercent val="0"/>
          <c:showBubbleSize val="0"/>
        </c:dLbls>
        <c:gapWidth val="219"/>
        <c:overlap val="-27"/>
        <c:axId val="1476388063"/>
        <c:axId val="1271153343"/>
      </c:barChart>
      <c:catAx>
        <c:axId val="1476388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153343"/>
        <c:crosses val="autoZero"/>
        <c:auto val="1"/>
        <c:lblAlgn val="ctr"/>
        <c:lblOffset val="100"/>
        <c:noMultiLvlLbl val="0"/>
      </c:catAx>
      <c:valAx>
        <c:axId val="1271153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388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 r2 (1).xlsx]EMPLOYEES OF DEPARTMENT!PivotTable1</c:name>
    <c:fmtId val="27"/>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4101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0.38611556862622243"/>
              <c:y val="-9.210101780951773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4101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9514582628445445"/>
                  <c:h val="0.24211010635730845"/>
                </c:manualLayout>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'EMPLOYEES OF DEPARTMENT'!$A$3</c:f>
              <c:strCache>
                <c:ptCount val="1"/>
                <c:pt idx="0">
                  <c:v>Total</c:v>
                </c:pt>
              </c:strCache>
            </c:strRef>
          </c:tx>
          <c:spPr>
            <a:solidFill>
              <a:schemeClr val="accent1"/>
            </a:solidFill>
            <a:ln>
              <a:noFill/>
            </a:ln>
            <a:effectLst/>
            <a:sp3d/>
          </c:spPr>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1-1482-450D-B6E7-2EE3B6574FD3}"/>
              </c:ext>
            </c:extLst>
          </c:dPt>
          <c:dLbls>
            <c:dLbl>
              <c:idx val="0"/>
              <c:layout>
                <c:manualLayout>
                  <c:x val="0.38611556862622243"/>
                  <c:y val="-9.2101017809517738E-3"/>
                </c:manualLayout>
              </c:layout>
              <c:showLegendKey val="0"/>
              <c:showVal val="1"/>
              <c:showCatName val="0"/>
              <c:showSerName val="0"/>
              <c:showPercent val="0"/>
              <c:showBubbleSize val="0"/>
              <c:extLst>
                <c:ext xmlns:c15="http://schemas.microsoft.com/office/drawing/2012/chart" uri="{CE6537A1-D6FC-4f65-9D91-7224C49458BB}">
                  <c15:layout>
                    <c:manualLayout>
                      <c:w val="0.19514582628445445"/>
                      <c:h val="0.24211010635730845"/>
                    </c:manualLayout>
                  </c15:layout>
                </c:ext>
                <c:ext xmlns:c16="http://schemas.microsoft.com/office/drawing/2014/chart" uri="{C3380CC4-5D6E-409C-BE32-E72D297353CC}">
                  <c16:uniqueId val="{00000001-1482-450D-B6E7-2EE3B6574FD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41016"/>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'EMPLOYEES OF DEPARTMENT'!$A$4</c:f>
              <c:strCache>
                <c:ptCount val="1"/>
                <c:pt idx="0">
                  <c:v>Total</c:v>
                </c:pt>
              </c:strCache>
            </c:strRef>
          </c:cat>
          <c:val>
            <c:numRef>
              <c:f>'EMPLOYEES OF DEPARTMENT'!$A$4</c:f>
              <c:numCache>
                <c:formatCode>General</c:formatCode>
                <c:ptCount val="1"/>
                <c:pt idx="0">
                  <c:v>106</c:v>
                </c:pt>
              </c:numCache>
            </c:numRef>
          </c:val>
          <c:extLst>
            <c:ext xmlns:c16="http://schemas.microsoft.com/office/drawing/2014/chart" uri="{C3380CC4-5D6E-409C-BE32-E72D297353CC}">
              <c16:uniqueId val="{00000000-1482-450D-B6E7-2EE3B6574FD3}"/>
            </c:ext>
          </c:extLst>
        </c:ser>
        <c:dLbls>
          <c:showLegendKey val="0"/>
          <c:showVal val="1"/>
          <c:showCatName val="0"/>
          <c:showSerName val="0"/>
          <c:showPercent val="0"/>
          <c:showBubbleSize val="0"/>
        </c:dLbls>
        <c:gapWidth val="150"/>
        <c:shape val="box"/>
        <c:axId val="1296823519"/>
        <c:axId val="1017425983"/>
        <c:axId val="0"/>
      </c:bar3DChart>
      <c:catAx>
        <c:axId val="1296823519"/>
        <c:scaling>
          <c:orientation val="minMax"/>
        </c:scaling>
        <c:delete val="1"/>
        <c:axPos val="b"/>
        <c:numFmt formatCode="General" sourceLinked="1"/>
        <c:majorTickMark val="none"/>
        <c:minorTickMark val="none"/>
        <c:tickLblPos val="nextTo"/>
        <c:crossAx val="1017425983"/>
        <c:crosses val="autoZero"/>
        <c:auto val="1"/>
        <c:lblAlgn val="ctr"/>
        <c:lblOffset val="100"/>
        <c:noMultiLvlLbl val="0"/>
      </c:catAx>
      <c:valAx>
        <c:axId val="1017425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823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 r2 (1).xlsx]MOST EXPERIENCED DEPARTMENT!PivotTable8</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4101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'MOST EXPERIENCED DEPARTMENT'!$B$3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41016"/>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'MOST EXPERIENCED DEPARTMENT'!$A$4:$A$9</c:f>
              <c:strCache>
                <c:ptCount val="5"/>
                <c:pt idx="0">
                  <c:v>Finance</c:v>
                </c:pt>
                <c:pt idx="1">
                  <c:v>Hr</c:v>
                </c:pt>
                <c:pt idx="2">
                  <c:v>It</c:v>
                </c:pt>
                <c:pt idx="3">
                  <c:v>Marketing</c:v>
                </c:pt>
                <c:pt idx="4">
                  <c:v>Sales</c:v>
                </c:pt>
              </c:strCache>
            </c:strRef>
          </c:cat>
          <c:val>
            <c:numRef>
              <c:f>'MOST EXPERIENCED DEPARTMENT'!$B$4:$B$9</c:f>
              <c:numCache>
                <c:formatCode>General</c:formatCode>
                <c:ptCount val="5"/>
                <c:pt idx="0">
                  <c:v>102</c:v>
                </c:pt>
                <c:pt idx="1">
                  <c:v>87</c:v>
                </c:pt>
                <c:pt idx="2">
                  <c:v>110</c:v>
                </c:pt>
                <c:pt idx="3">
                  <c:v>95</c:v>
                </c:pt>
                <c:pt idx="4">
                  <c:v>106</c:v>
                </c:pt>
              </c:numCache>
            </c:numRef>
          </c:val>
          <c:extLst>
            <c:ext xmlns:c16="http://schemas.microsoft.com/office/drawing/2014/chart" uri="{C3380CC4-5D6E-409C-BE32-E72D297353CC}">
              <c16:uniqueId val="{00000000-CE76-431B-94DD-B6533DE70D34}"/>
            </c:ext>
          </c:extLst>
        </c:ser>
        <c:dLbls>
          <c:showLegendKey val="0"/>
          <c:showVal val="0"/>
          <c:showCatName val="0"/>
          <c:showSerName val="0"/>
          <c:showPercent val="0"/>
          <c:showBubbleSize val="0"/>
        </c:dLbls>
        <c:gapWidth val="219"/>
        <c:overlap val="-27"/>
        <c:axId val="1774052623"/>
        <c:axId val="1790198175"/>
      </c:barChart>
      <c:catAx>
        <c:axId val="1774052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41016"/>
                </a:solidFill>
                <a:latin typeface="+mn-lt"/>
                <a:ea typeface="+mn-ea"/>
                <a:cs typeface="+mn-cs"/>
              </a:defRPr>
            </a:pPr>
            <a:endParaRPr lang="en-US"/>
          </a:p>
        </c:txPr>
        <c:crossAx val="1790198175"/>
        <c:crosses val="autoZero"/>
        <c:auto val="1"/>
        <c:lblAlgn val="ctr"/>
        <c:lblOffset val="100"/>
        <c:noMultiLvlLbl val="0"/>
      </c:catAx>
      <c:valAx>
        <c:axId val="1790198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4052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 r2 (1).xlsx]MANAGERS AND NON MANAGERS!PivotTable1</c:name>
    <c:fmtId val="12"/>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rgbClr val="00B0F0"/>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2"/>
          </a:solidFill>
          <a:ln w="25400">
            <a:solidFill>
              <a:schemeClr val="lt1"/>
            </a:solidFill>
          </a:ln>
          <a:effectLst>
            <a:outerShdw blurRad="50800" dist="38100" algn="l" rotWithShape="0">
              <a:prstClr val="black">
                <a:alpha val="40000"/>
              </a:prstClr>
            </a:outerShdw>
          </a:effectLst>
          <a:sp3d contourW="25400">
            <a:contourClr>
              <a:schemeClr val="lt1"/>
            </a:contourClr>
          </a:sp3d>
        </c:spPr>
        <c:dLbl>
          <c:idx val="0"/>
          <c:layout>
            <c:manualLayout>
              <c:x val="-3.2131210770454E-2"/>
              <c:y val="-0.14658985128742805"/>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0907320037751674"/>
                  <c:h val="8.4194166747329727E-2"/>
                </c:manualLayout>
              </c15:layout>
            </c:ext>
          </c:extLst>
        </c:dLbl>
      </c:pivotFmt>
      <c:pivotFmt>
        <c:idx val="10"/>
        <c:spPr>
          <a:solidFill>
            <a:srgbClr val="00B0F0"/>
          </a:solidFill>
          <a:ln w="25400">
            <a:solidFill>
              <a:schemeClr val="lt1"/>
            </a:solidFill>
          </a:ln>
          <a:effectLst/>
          <a:sp3d contourW="25400">
            <a:contourClr>
              <a:schemeClr val="lt1"/>
            </a:contourClr>
          </a:sp3d>
        </c:spPr>
        <c:dLbl>
          <c:idx val="0"/>
          <c:layout>
            <c:manualLayout>
              <c:x val="4.4872899950827022E-2"/>
              <c:y val="-6.5780367841754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41016"/>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B0F0"/>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'MANAGERS AND NON MANAGERS'!$B$3</c:f>
              <c:strCache>
                <c:ptCount val="1"/>
                <c:pt idx="0">
                  <c:v>Total</c:v>
                </c:pt>
              </c:strCache>
            </c:strRef>
          </c:tx>
          <c:spPr>
            <a:solidFill>
              <a:srgbClr val="00B0F0"/>
            </a:solidFill>
          </c:spPr>
          <c:dPt>
            <c:idx val="0"/>
            <c:bubble3D val="0"/>
            <c:explosion val="2"/>
            <c:spPr>
              <a:solidFill>
                <a:schemeClr val="tx2"/>
              </a:solidFill>
              <a:ln w="25400">
                <a:solidFill>
                  <a:schemeClr val="lt1"/>
                </a:solidFill>
              </a:ln>
              <a:effectLst>
                <a:outerShdw blurRad="50800" dist="38100" algn="l" rotWithShape="0">
                  <a:prstClr val="black">
                    <a:alpha val="40000"/>
                  </a:prstClr>
                </a:outerShdw>
              </a:effectLst>
              <a:sp3d contourW="25400">
                <a:contourClr>
                  <a:schemeClr val="lt1"/>
                </a:contourClr>
              </a:sp3d>
            </c:spPr>
            <c:extLst>
              <c:ext xmlns:c16="http://schemas.microsoft.com/office/drawing/2014/chart" uri="{C3380CC4-5D6E-409C-BE32-E72D297353CC}">
                <c16:uniqueId val="{00000001-0CCC-41B6-9F78-6859C1AA90C9}"/>
              </c:ext>
            </c:extLst>
          </c:dPt>
          <c:dPt>
            <c:idx val="1"/>
            <c:bubble3D val="0"/>
            <c:spPr>
              <a:solidFill>
                <a:srgbClr val="00B0F0"/>
              </a:solidFill>
              <a:ln w="25400">
                <a:solidFill>
                  <a:schemeClr val="lt1"/>
                </a:solidFill>
              </a:ln>
              <a:effectLst/>
              <a:sp3d contourW="25400">
                <a:contourClr>
                  <a:schemeClr val="lt1"/>
                </a:contourClr>
              </a:sp3d>
            </c:spPr>
            <c:extLst>
              <c:ext xmlns:c16="http://schemas.microsoft.com/office/drawing/2014/chart" uri="{C3380CC4-5D6E-409C-BE32-E72D297353CC}">
                <c16:uniqueId val="{00000003-0CCC-41B6-9F78-6859C1AA90C9}"/>
              </c:ext>
            </c:extLst>
          </c:dPt>
          <c:dPt>
            <c:idx val="2"/>
            <c:bubble3D val="0"/>
            <c:spPr>
              <a:solidFill>
                <a:srgbClr val="00B0F0"/>
              </a:solidFill>
              <a:ln w="25400">
                <a:solidFill>
                  <a:schemeClr val="lt1"/>
                </a:solidFill>
              </a:ln>
              <a:effectLst/>
              <a:sp3d contourW="25400">
                <a:contourClr>
                  <a:schemeClr val="lt1"/>
                </a:contourClr>
              </a:sp3d>
            </c:spPr>
            <c:extLst>
              <c:ext xmlns:c16="http://schemas.microsoft.com/office/drawing/2014/chart" uri="{C3380CC4-5D6E-409C-BE32-E72D297353CC}">
                <c16:uniqueId val="{00000005-0CCC-41B6-9F78-6859C1AA90C9}"/>
              </c:ext>
            </c:extLst>
          </c:dPt>
          <c:dLbls>
            <c:dLbl>
              <c:idx val="0"/>
              <c:layout>
                <c:manualLayout>
                  <c:x val="-3.2131210770454E-2"/>
                  <c:y val="-0.14658985128742805"/>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0907320037751674"/>
                      <c:h val="8.4194166747329727E-2"/>
                    </c:manualLayout>
                  </c15:layout>
                </c:ext>
                <c:ext xmlns:c16="http://schemas.microsoft.com/office/drawing/2014/chart" uri="{C3380CC4-5D6E-409C-BE32-E72D297353CC}">
                  <c16:uniqueId val="{00000001-0CCC-41B6-9F78-6859C1AA90C9}"/>
                </c:ext>
              </c:extLst>
            </c:dLbl>
            <c:dLbl>
              <c:idx val="1"/>
              <c:layout>
                <c:manualLayout>
                  <c:x val="4.4872899950827022E-2"/>
                  <c:y val="-6.5780367841754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41016"/>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CCC-41B6-9F78-6859C1AA90C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'MANAGERS AND NON MANAGERS'!$A$4:$A$7</c:f>
              <c:strCache>
                <c:ptCount val="3"/>
                <c:pt idx="0">
                  <c:v>Manager</c:v>
                </c:pt>
                <c:pt idx="1">
                  <c:v>Not manager</c:v>
                </c:pt>
                <c:pt idx="2">
                  <c:v>(blank)</c:v>
                </c:pt>
              </c:strCache>
            </c:strRef>
          </c:cat>
          <c:val>
            <c:numRef>
              <c:f>'MANAGERS AND NON MANAGERS'!$B$4:$B$7</c:f>
              <c:numCache>
                <c:formatCode>0.00%</c:formatCode>
                <c:ptCount val="3"/>
                <c:pt idx="0">
                  <c:v>0.51400000000000001</c:v>
                </c:pt>
                <c:pt idx="1">
                  <c:v>0.48599999999999999</c:v>
                </c:pt>
                <c:pt idx="2">
                  <c:v>0</c:v>
                </c:pt>
              </c:numCache>
            </c:numRef>
          </c:val>
          <c:extLst>
            <c:ext xmlns:c16="http://schemas.microsoft.com/office/drawing/2014/chart" uri="{C3380CC4-5D6E-409C-BE32-E72D297353CC}">
              <c16:uniqueId val="{00000006-0CCC-41B6-9F78-6859C1AA90C9}"/>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 r2 (1).xlsx]AGE GROUP COUNT!PivotTable5</c:name>
    <c:fmtId val="1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pivotFmt>
      <c:pivotFmt>
        <c:idx val="1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s>
    <c:plotArea>
      <c:layout/>
      <c:barChart>
        <c:barDir val="bar"/>
        <c:grouping val="clustered"/>
        <c:varyColors val="0"/>
        <c:ser>
          <c:idx val="0"/>
          <c:order val="0"/>
          <c:tx>
            <c:strRef>
              <c:f>'AGE GROUP COUNT'!$B$3</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Pt>
            <c:idx val="0"/>
            <c:invertIfNegative val="0"/>
            <c:bubble3D val="0"/>
            <c:extLst>
              <c:ext xmlns:c16="http://schemas.microsoft.com/office/drawing/2014/chart" uri="{C3380CC4-5D6E-409C-BE32-E72D297353CC}">
                <c16:uniqueId val="{00000001-EB09-426F-B648-141444E25BAD}"/>
              </c:ext>
            </c:extLst>
          </c:dPt>
          <c:dPt>
            <c:idx val="1"/>
            <c:invertIfNegative val="0"/>
            <c:bubble3D val="0"/>
            <c:extLst>
              <c:ext xmlns:c16="http://schemas.microsoft.com/office/drawing/2014/chart" uri="{C3380CC4-5D6E-409C-BE32-E72D297353CC}">
                <c16:uniqueId val="{00000003-EB09-426F-B648-141444E25BAD}"/>
              </c:ext>
            </c:extLst>
          </c:dPt>
          <c:dPt>
            <c:idx val="2"/>
            <c:invertIfNegative val="0"/>
            <c:bubble3D val="0"/>
            <c:extLst>
              <c:ext xmlns:c16="http://schemas.microsoft.com/office/drawing/2014/chart" uri="{C3380CC4-5D6E-409C-BE32-E72D297353CC}">
                <c16:uniqueId val="{00000005-EB09-426F-B648-141444E25BAD}"/>
              </c:ext>
            </c:extLst>
          </c:dPt>
          <c:dPt>
            <c:idx val="3"/>
            <c:invertIfNegative val="0"/>
            <c:bubble3D val="0"/>
            <c:extLst>
              <c:ext xmlns:c16="http://schemas.microsoft.com/office/drawing/2014/chart" uri="{C3380CC4-5D6E-409C-BE32-E72D297353CC}">
                <c16:uniqueId val="{00000007-EB09-426F-B648-141444E25BAD}"/>
              </c:ext>
            </c:extLst>
          </c:dPt>
          <c:dPt>
            <c:idx val="4"/>
            <c:invertIfNegative val="0"/>
            <c:bubble3D val="0"/>
            <c:extLst>
              <c:ext xmlns:c16="http://schemas.microsoft.com/office/drawing/2014/chart" uri="{C3380CC4-5D6E-409C-BE32-E72D297353CC}">
                <c16:uniqueId val="{00000009-EB09-426F-B648-141444E25BA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'AGE GROUP COUNT'!$A$4:$A$9</c:f>
              <c:strCache>
                <c:ptCount val="5"/>
                <c:pt idx="0">
                  <c:v>20-29</c:v>
                </c:pt>
                <c:pt idx="1">
                  <c:v>30-39</c:v>
                </c:pt>
                <c:pt idx="2">
                  <c:v>40-49</c:v>
                </c:pt>
                <c:pt idx="3">
                  <c:v>50-59</c:v>
                </c:pt>
                <c:pt idx="4">
                  <c:v>60+</c:v>
                </c:pt>
              </c:strCache>
            </c:strRef>
          </c:cat>
          <c:val>
            <c:numRef>
              <c:f>'AGE GROUP COUNT'!$B$4:$B$9</c:f>
              <c:numCache>
                <c:formatCode>General</c:formatCode>
                <c:ptCount val="5"/>
                <c:pt idx="0">
                  <c:v>77</c:v>
                </c:pt>
                <c:pt idx="1">
                  <c:v>106</c:v>
                </c:pt>
                <c:pt idx="2">
                  <c:v>147</c:v>
                </c:pt>
                <c:pt idx="3">
                  <c:v>112</c:v>
                </c:pt>
                <c:pt idx="4">
                  <c:v>58</c:v>
                </c:pt>
              </c:numCache>
            </c:numRef>
          </c:val>
          <c:extLst>
            <c:ext xmlns:c16="http://schemas.microsoft.com/office/drawing/2014/chart" uri="{C3380CC4-5D6E-409C-BE32-E72D297353CC}">
              <c16:uniqueId val="{0000000A-EB09-426F-B648-141444E25BAD}"/>
            </c:ext>
          </c:extLst>
        </c:ser>
        <c:dLbls>
          <c:dLblPos val="inEnd"/>
          <c:showLegendKey val="0"/>
          <c:showVal val="1"/>
          <c:showCatName val="0"/>
          <c:showSerName val="0"/>
          <c:showPercent val="0"/>
          <c:showBubbleSize val="0"/>
        </c:dLbls>
        <c:gapWidth val="100"/>
        <c:axId val="75513679"/>
        <c:axId val="48020863"/>
      </c:barChart>
      <c:valAx>
        <c:axId val="480208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41016"/>
                </a:solidFill>
                <a:latin typeface="+mn-lt"/>
                <a:ea typeface="+mn-ea"/>
                <a:cs typeface="+mn-cs"/>
              </a:defRPr>
            </a:pPr>
            <a:endParaRPr lang="en-US"/>
          </a:p>
        </c:txPr>
        <c:crossAx val="75513679"/>
        <c:crosses val="autoZero"/>
        <c:crossBetween val="between"/>
      </c:valAx>
      <c:catAx>
        <c:axId val="755136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41016"/>
                </a:solidFill>
                <a:latin typeface="+mn-lt"/>
                <a:ea typeface="+mn-ea"/>
                <a:cs typeface="+mn-cs"/>
              </a:defRPr>
            </a:pPr>
            <a:endParaRPr lang="en-US"/>
          </a:p>
        </c:txPr>
        <c:crossAx val="48020863"/>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 r2 (1).xlsx]Sheet1!PivotTable1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Sheet1!$A$4:$A$9</c:f>
              <c:strCache>
                <c:ptCount val="5"/>
                <c:pt idx="0">
                  <c:v>20-29</c:v>
                </c:pt>
                <c:pt idx="1">
                  <c:v>30-39</c:v>
                </c:pt>
                <c:pt idx="2">
                  <c:v>40-49</c:v>
                </c:pt>
                <c:pt idx="3">
                  <c:v>50-59</c:v>
                </c:pt>
                <c:pt idx="4">
                  <c:v>60+</c:v>
                </c:pt>
              </c:strCache>
            </c:strRef>
          </c:cat>
          <c:val>
            <c:numRef>
              <c:f>Sheet1!$B$4:$B$9</c:f>
              <c:numCache>
                <c:formatCode>General</c:formatCode>
                <c:ptCount val="5"/>
                <c:pt idx="0">
                  <c:v>38</c:v>
                </c:pt>
                <c:pt idx="1">
                  <c:v>53</c:v>
                </c:pt>
                <c:pt idx="2">
                  <c:v>80</c:v>
                </c:pt>
                <c:pt idx="3">
                  <c:v>60</c:v>
                </c:pt>
                <c:pt idx="4">
                  <c:v>26</c:v>
                </c:pt>
              </c:numCache>
            </c:numRef>
          </c:val>
          <c:extLst>
            <c:ext xmlns:c16="http://schemas.microsoft.com/office/drawing/2014/chart" uri="{C3380CC4-5D6E-409C-BE32-E72D297353CC}">
              <c16:uniqueId val="{00000005-571E-46ED-9621-A1ED0C3F9DE0}"/>
            </c:ext>
          </c:extLst>
        </c:ser>
        <c:dLbls>
          <c:dLblPos val="outEnd"/>
          <c:showLegendKey val="0"/>
          <c:showVal val="1"/>
          <c:showCatName val="0"/>
          <c:showSerName val="0"/>
          <c:showPercent val="0"/>
          <c:showBubbleSize val="0"/>
        </c:dLbls>
        <c:gapWidth val="219"/>
        <c:overlap val="-27"/>
        <c:axId val="1476388063"/>
        <c:axId val="1271153343"/>
      </c:barChart>
      <c:catAx>
        <c:axId val="1476388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153343"/>
        <c:crosses val="autoZero"/>
        <c:auto val="1"/>
        <c:lblAlgn val="ctr"/>
        <c:lblOffset val="100"/>
        <c:noMultiLvlLbl val="0"/>
      </c:catAx>
      <c:valAx>
        <c:axId val="1271153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388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6.xml"/><Relationship Id="rId7" Type="http://schemas.openxmlformats.org/officeDocument/2006/relationships/image" Target="../media/image6.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5.png"/><Relationship Id="rId11" Type="http://schemas.openxmlformats.org/officeDocument/2006/relationships/chart" Target="../charts/chart10.xml"/><Relationship Id="rId5" Type="http://schemas.openxmlformats.org/officeDocument/2006/relationships/image" Target="../media/image4.svg"/><Relationship Id="rId10" Type="http://schemas.openxmlformats.org/officeDocument/2006/relationships/chart" Target="../charts/chart9.xml"/><Relationship Id="rId4" Type="http://schemas.openxmlformats.org/officeDocument/2006/relationships/image" Target="../media/image3.png"/><Relationship Id="rId9"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358140</xdr:colOff>
      <xdr:row>6</xdr:row>
      <xdr:rowOff>95250</xdr:rowOff>
    </xdr:from>
    <xdr:to>
      <xdr:col>11</xdr:col>
      <xdr:colOff>53340</xdr:colOff>
      <xdr:row>21</xdr:row>
      <xdr:rowOff>95250</xdr:rowOff>
    </xdr:to>
    <xdr:graphicFrame macro="">
      <xdr:nvGraphicFramePr>
        <xdr:cNvPr id="2" name="Chart 1">
          <a:extLst>
            <a:ext uri="{FF2B5EF4-FFF2-40B4-BE49-F238E27FC236}">
              <a16:creationId xmlns:a16="http://schemas.microsoft.com/office/drawing/2014/main" id="{90D6EA5F-945E-7495-4B29-A47F019242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480060</xdr:colOff>
      <xdr:row>8</xdr:row>
      <xdr:rowOff>0</xdr:rowOff>
    </xdr:from>
    <xdr:to>
      <xdr:col>11</xdr:col>
      <xdr:colOff>480060</xdr:colOff>
      <xdr:row>22</xdr:row>
      <xdr:rowOff>20955</xdr:rowOff>
    </xdr:to>
    <mc:AlternateContent xmlns:mc="http://schemas.openxmlformats.org/markup-compatibility/2006" xmlns:a14="http://schemas.microsoft.com/office/drawing/2010/main">
      <mc:Choice Requires="a14">
        <xdr:graphicFrame macro="">
          <xdr:nvGraphicFramePr>
            <xdr:cNvPr id="3" name="Age group">
              <a:extLst>
                <a:ext uri="{FF2B5EF4-FFF2-40B4-BE49-F238E27FC236}">
                  <a16:creationId xmlns:a16="http://schemas.microsoft.com/office/drawing/2014/main" id="{675F74D2-2B2F-23A0-F8BE-939A935B27E6}"/>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6301740" y="146304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464820</xdr:colOff>
      <xdr:row>5</xdr:row>
      <xdr:rowOff>80010</xdr:rowOff>
    </xdr:from>
    <xdr:to>
      <xdr:col>11</xdr:col>
      <xdr:colOff>160020</xdr:colOff>
      <xdr:row>20</xdr:row>
      <xdr:rowOff>80010</xdr:rowOff>
    </xdr:to>
    <xdr:graphicFrame macro="">
      <xdr:nvGraphicFramePr>
        <xdr:cNvPr id="2" name="Chart 1">
          <a:extLst>
            <a:ext uri="{FF2B5EF4-FFF2-40B4-BE49-F238E27FC236}">
              <a16:creationId xmlns:a16="http://schemas.microsoft.com/office/drawing/2014/main" id="{B4A4340D-5BED-90AA-FBA0-7FB83C309A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358140</xdr:colOff>
      <xdr:row>5</xdr:row>
      <xdr:rowOff>80010</xdr:rowOff>
    </xdr:from>
    <xdr:to>
      <xdr:col>11</xdr:col>
      <xdr:colOff>53340</xdr:colOff>
      <xdr:row>20</xdr:row>
      <xdr:rowOff>80010</xdr:rowOff>
    </xdr:to>
    <xdr:graphicFrame macro="">
      <xdr:nvGraphicFramePr>
        <xdr:cNvPr id="2" name="Chart 1">
          <a:extLst>
            <a:ext uri="{FF2B5EF4-FFF2-40B4-BE49-F238E27FC236}">
              <a16:creationId xmlns:a16="http://schemas.microsoft.com/office/drawing/2014/main" id="{11C05ABE-6D7C-683E-35BA-78F5EB69DA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403860</xdr:colOff>
      <xdr:row>7</xdr:row>
      <xdr:rowOff>22861</xdr:rowOff>
    </xdr:from>
    <xdr:to>
      <xdr:col>15</xdr:col>
      <xdr:colOff>403860</xdr:colOff>
      <xdr:row>17</xdr:row>
      <xdr:rowOff>7621</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747882DB-DBA3-D592-EED9-80F1BEB0021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9121140" y="1303021"/>
              <a:ext cx="1828800" cy="18135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358140</xdr:colOff>
      <xdr:row>6</xdr:row>
      <xdr:rowOff>45720</xdr:rowOff>
    </xdr:from>
    <xdr:to>
      <xdr:col>11</xdr:col>
      <xdr:colOff>53340</xdr:colOff>
      <xdr:row>19</xdr:row>
      <xdr:rowOff>144780</xdr:rowOff>
    </xdr:to>
    <xdr:graphicFrame macro="">
      <xdr:nvGraphicFramePr>
        <xdr:cNvPr id="2" name="Chart 1">
          <a:extLst>
            <a:ext uri="{FF2B5EF4-FFF2-40B4-BE49-F238E27FC236}">
              <a16:creationId xmlns:a16="http://schemas.microsoft.com/office/drawing/2014/main" id="{D636DFBF-9E27-B8C7-F925-07CA08893F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25400</xdr:colOff>
      <xdr:row>1</xdr:row>
      <xdr:rowOff>12700</xdr:rowOff>
    </xdr:from>
    <xdr:to>
      <xdr:col>10</xdr:col>
      <xdr:colOff>330200</xdr:colOff>
      <xdr:row>15</xdr:row>
      <xdr:rowOff>177800</xdr:rowOff>
    </xdr:to>
    <xdr:graphicFrame macro="">
      <xdr:nvGraphicFramePr>
        <xdr:cNvPr id="2" name="Chart 1">
          <a:extLst>
            <a:ext uri="{FF2B5EF4-FFF2-40B4-BE49-F238E27FC236}">
              <a16:creationId xmlns:a16="http://schemas.microsoft.com/office/drawing/2014/main" id="{DBDE789C-2D52-E9FF-4878-ACD63AA4AE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57150</xdr:colOff>
      <xdr:row>2</xdr:row>
      <xdr:rowOff>63500</xdr:rowOff>
    </xdr:from>
    <xdr:to>
      <xdr:col>3</xdr:col>
      <xdr:colOff>31750</xdr:colOff>
      <xdr:row>16</xdr:row>
      <xdr:rowOff>104772</xdr:rowOff>
    </xdr:to>
    <mc:AlternateContent xmlns:mc="http://schemas.openxmlformats.org/markup-compatibility/2006">
      <mc:Choice xmlns:a14="http://schemas.microsoft.com/office/drawing/2010/main" Requires="a14">
        <xdr:graphicFrame macro="">
          <xdr:nvGraphicFramePr>
            <xdr:cNvPr id="3" name="Is_Manager">
              <a:extLst>
                <a:ext uri="{FF2B5EF4-FFF2-40B4-BE49-F238E27FC236}">
                  <a16:creationId xmlns:a16="http://schemas.microsoft.com/office/drawing/2014/main" id="{FDCF6DDC-111D-E0FE-2932-E06366998298}"/>
                </a:ext>
              </a:extLst>
            </xdr:cNvPr>
            <xdr:cNvGraphicFramePr/>
          </xdr:nvGraphicFramePr>
          <xdr:xfrm>
            <a:off x="0" y="0"/>
            <a:ext cx="0" cy="0"/>
          </xdr:xfrm>
          <a:graphic>
            <a:graphicData uri="http://schemas.microsoft.com/office/drawing/2010/slicer">
              <sle:slicer xmlns:sle="http://schemas.microsoft.com/office/drawing/2010/slicer" name="Is_Manager"/>
            </a:graphicData>
          </a:graphic>
        </xdr:graphicFrame>
      </mc:Choice>
      <mc:Fallback>
        <xdr:sp macro="" textlink="">
          <xdr:nvSpPr>
            <xdr:cNvPr id="0" name=""/>
            <xdr:cNvSpPr>
              <a:spLocks noTextEdit="1"/>
            </xdr:cNvSpPr>
          </xdr:nvSpPr>
          <xdr:spPr>
            <a:xfrm>
              <a:off x="927100" y="4318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56</xdr:col>
      <xdr:colOff>356326</xdr:colOff>
      <xdr:row>41</xdr:row>
      <xdr:rowOff>77545</xdr:rowOff>
    </xdr:from>
    <xdr:to>
      <xdr:col>61</xdr:col>
      <xdr:colOff>551793</xdr:colOff>
      <xdr:row>44</xdr:row>
      <xdr:rowOff>-1</xdr:rowOff>
    </xdr:to>
    <xdr:sp macro="" textlink="">
      <xdr:nvSpPr>
        <xdr:cNvPr id="7" name="TextBox 6">
          <a:extLst>
            <a:ext uri="{FF2B5EF4-FFF2-40B4-BE49-F238E27FC236}">
              <a16:creationId xmlns:a16="http://schemas.microsoft.com/office/drawing/2014/main" id="{8941CAF2-7511-2126-AA7C-D2265B496CF0}"/>
            </a:ext>
          </a:extLst>
        </xdr:cNvPr>
        <xdr:cNvSpPr txBox="1"/>
      </xdr:nvSpPr>
      <xdr:spPr>
        <a:xfrm>
          <a:off x="34199636" y="7618717"/>
          <a:ext cx="3217191" cy="4742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2000" b="1" i="1">
            <a:latin typeface="Aptos Narrow" panose="020B0004020202020204" pitchFamily="34" charset="0"/>
          </a:endParaRPr>
        </a:p>
      </xdr:txBody>
    </xdr:sp>
    <xdr:clientData/>
  </xdr:twoCellAnchor>
  <xdr:twoCellAnchor>
    <xdr:from>
      <xdr:col>0</xdr:col>
      <xdr:colOff>262759</xdr:colOff>
      <xdr:row>1</xdr:row>
      <xdr:rowOff>0</xdr:rowOff>
    </xdr:from>
    <xdr:to>
      <xdr:col>4</xdr:col>
      <xdr:colOff>210207</xdr:colOff>
      <xdr:row>8</xdr:row>
      <xdr:rowOff>13138</xdr:rowOff>
    </xdr:to>
    <xdr:sp macro="" textlink="">
      <xdr:nvSpPr>
        <xdr:cNvPr id="3" name="Rectangle: Rounded Corners 2">
          <a:extLst>
            <a:ext uri="{FF2B5EF4-FFF2-40B4-BE49-F238E27FC236}">
              <a16:creationId xmlns:a16="http://schemas.microsoft.com/office/drawing/2014/main" id="{4897B6BC-2788-A040-75F5-36B00660A82A}"/>
            </a:ext>
          </a:extLst>
        </xdr:cNvPr>
        <xdr:cNvSpPr/>
      </xdr:nvSpPr>
      <xdr:spPr>
        <a:xfrm>
          <a:off x="262759" y="183931"/>
          <a:ext cx="2364827" cy="1300655"/>
        </a:xfrm>
        <a:prstGeom prst="roundRect">
          <a:avLst/>
        </a:prstGeom>
        <a:gradFill flip="none" rotWithShape="1">
          <a:gsLst>
            <a:gs pos="0">
              <a:schemeClr val="accent4">
                <a:lumMod val="40000"/>
                <a:lumOff val="60000"/>
              </a:schemeClr>
            </a:gs>
            <a:gs pos="72000">
              <a:schemeClr val="accent4">
                <a:lumMod val="60000"/>
              </a:schemeClr>
            </a:gs>
          </a:gsLst>
          <a:path path="circle">
            <a:fillToRect l="50000" t="130000" r="50000" b="-30000"/>
          </a:path>
          <a:tileRect/>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349470</xdr:colOff>
      <xdr:row>0</xdr:row>
      <xdr:rowOff>178676</xdr:rowOff>
    </xdr:from>
    <xdr:to>
      <xdr:col>32</xdr:col>
      <xdr:colOff>315311</xdr:colOff>
      <xdr:row>8</xdr:row>
      <xdr:rowOff>7883</xdr:rowOff>
    </xdr:to>
    <xdr:sp macro="" textlink="">
      <xdr:nvSpPr>
        <xdr:cNvPr id="8" name="Rectangle: Rounded Corners 7">
          <a:extLst>
            <a:ext uri="{FF2B5EF4-FFF2-40B4-BE49-F238E27FC236}">
              <a16:creationId xmlns:a16="http://schemas.microsoft.com/office/drawing/2014/main" id="{D9B0B700-922D-4263-939A-7F35FF48E711}"/>
            </a:ext>
          </a:extLst>
        </xdr:cNvPr>
        <xdr:cNvSpPr/>
      </xdr:nvSpPr>
      <xdr:spPr>
        <a:xfrm>
          <a:off x="2766849" y="178676"/>
          <a:ext cx="16887496" cy="1300655"/>
        </a:xfrm>
        <a:prstGeom prst="roundRect">
          <a:avLst/>
        </a:prstGeom>
        <a:gradFill flip="none" rotWithShape="1">
          <a:gsLst>
            <a:gs pos="6000">
              <a:schemeClr val="accent4">
                <a:lumMod val="95000"/>
                <a:lumOff val="5000"/>
              </a:schemeClr>
            </a:gs>
            <a:gs pos="74000">
              <a:schemeClr val="accent4">
                <a:lumMod val="60000"/>
              </a:schemeClr>
            </a:gs>
          </a:gsLst>
          <a:path path="circle">
            <a:fillToRect l="50000" t="130000" r="50000" b="-30000"/>
          </a:path>
          <a:tileRect/>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274320</xdr:colOff>
      <xdr:row>8</xdr:row>
      <xdr:rowOff>139263</xdr:rowOff>
    </xdr:from>
    <xdr:to>
      <xdr:col>4</xdr:col>
      <xdr:colOff>259080</xdr:colOff>
      <xdr:row>48</xdr:row>
      <xdr:rowOff>33868</xdr:rowOff>
    </xdr:to>
    <xdr:sp macro="" textlink="">
      <xdr:nvSpPr>
        <xdr:cNvPr id="12" name="Rectangle: Rounded Corners 11">
          <a:extLst>
            <a:ext uri="{FF2B5EF4-FFF2-40B4-BE49-F238E27FC236}">
              <a16:creationId xmlns:a16="http://schemas.microsoft.com/office/drawing/2014/main" id="{F8BA2A04-1085-4C6E-A257-F086A889266B}"/>
            </a:ext>
          </a:extLst>
        </xdr:cNvPr>
        <xdr:cNvSpPr/>
      </xdr:nvSpPr>
      <xdr:spPr>
        <a:xfrm>
          <a:off x="274320" y="1629396"/>
          <a:ext cx="2423160" cy="7345272"/>
        </a:xfrm>
        <a:prstGeom prst="roundRect">
          <a:avLst/>
        </a:prstGeom>
        <a:gradFill flip="none" rotWithShape="1">
          <a:gsLst>
            <a:gs pos="18000">
              <a:schemeClr val="accent4">
                <a:lumMod val="95000"/>
                <a:lumOff val="5000"/>
              </a:schemeClr>
            </a:gs>
            <a:gs pos="60000">
              <a:schemeClr val="accent4">
                <a:lumMod val="60000"/>
              </a:schemeClr>
            </a:gs>
          </a:gsLst>
          <a:path path="circle">
            <a:fillToRect l="50000" t="130000" r="50000" b="-30000"/>
          </a:path>
          <a:tileRect/>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335280</xdr:colOff>
      <xdr:row>1</xdr:row>
      <xdr:rowOff>121920</xdr:rowOff>
    </xdr:from>
    <xdr:to>
      <xdr:col>3</xdr:col>
      <xdr:colOff>259080</xdr:colOff>
      <xdr:row>7</xdr:row>
      <xdr:rowOff>167640</xdr:rowOff>
    </xdr:to>
    <xdr:pic>
      <xdr:nvPicPr>
        <xdr:cNvPr id="15" name="Graphic 14" descr="Bar graph with upward trend with solid fill">
          <a:extLst>
            <a:ext uri="{FF2B5EF4-FFF2-40B4-BE49-F238E27FC236}">
              <a16:creationId xmlns:a16="http://schemas.microsoft.com/office/drawing/2014/main" id="{00BF8F31-CD0E-5A9A-421A-7A013CE4D72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44880" y="304800"/>
          <a:ext cx="1143000" cy="1143000"/>
        </a:xfrm>
        <a:prstGeom prst="rect">
          <a:avLst/>
        </a:prstGeom>
      </xdr:spPr>
    </xdr:pic>
    <xdr:clientData/>
  </xdr:twoCellAnchor>
  <xdr:twoCellAnchor>
    <xdr:from>
      <xdr:col>4</xdr:col>
      <xdr:colOff>365759</xdr:colOff>
      <xdr:row>8</xdr:row>
      <xdr:rowOff>137160</xdr:rowOff>
    </xdr:from>
    <xdr:to>
      <xdr:col>12</xdr:col>
      <xdr:colOff>152400</xdr:colOff>
      <xdr:row>26</xdr:row>
      <xdr:rowOff>121920</xdr:rowOff>
    </xdr:to>
    <xdr:sp macro="" textlink="">
      <xdr:nvSpPr>
        <xdr:cNvPr id="16" name="Rectangle: Rounded Corners 15">
          <a:extLst>
            <a:ext uri="{FF2B5EF4-FFF2-40B4-BE49-F238E27FC236}">
              <a16:creationId xmlns:a16="http://schemas.microsoft.com/office/drawing/2014/main" id="{E5472657-2F32-0C9C-2552-671E34FCEFCA}"/>
            </a:ext>
          </a:extLst>
        </xdr:cNvPr>
        <xdr:cNvSpPr/>
      </xdr:nvSpPr>
      <xdr:spPr>
        <a:xfrm>
          <a:off x="2804159" y="1627293"/>
          <a:ext cx="4663441" cy="3337560"/>
        </a:xfrm>
        <a:prstGeom prst="roundRect">
          <a:avLst/>
        </a:prstGeom>
        <a:gradFill flip="none" rotWithShape="1">
          <a:gsLst>
            <a:gs pos="15000">
              <a:srgbClr val="E3EFF1"/>
            </a:gs>
            <a:gs pos="74000">
              <a:schemeClr val="accent1">
                <a:lumMod val="45000"/>
                <a:lumOff val="55000"/>
              </a:schemeClr>
            </a:gs>
            <a:gs pos="83000">
              <a:schemeClr val="accent1">
                <a:lumMod val="45000"/>
                <a:lumOff val="55000"/>
              </a:schemeClr>
            </a:gs>
            <a:gs pos="100000">
              <a:schemeClr val="accent1">
                <a:lumMod val="30000"/>
                <a:lumOff val="70000"/>
              </a:schemeClr>
            </a:gs>
          </a:gsLst>
          <a:path path="rect">
            <a:fillToRect l="100000" t="100000"/>
          </a:path>
          <a:tileRect r="-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565575</xdr:colOff>
      <xdr:row>8</xdr:row>
      <xdr:rowOff>169333</xdr:rowOff>
    </xdr:from>
    <xdr:to>
      <xdr:col>20</xdr:col>
      <xdr:colOff>352215</xdr:colOff>
      <xdr:row>26</xdr:row>
      <xdr:rowOff>150706</xdr:rowOff>
    </xdr:to>
    <xdr:sp macro="" textlink="">
      <xdr:nvSpPr>
        <xdr:cNvPr id="19" name="Rectangle: Rounded Corners 18">
          <a:extLst>
            <a:ext uri="{FF2B5EF4-FFF2-40B4-BE49-F238E27FC236}">
              <a16:creationId xmlns:a16="http://schemas.microsoft.com/office/drawing/2014/main" id="{51AC8E82-FE5C-4718-8045-3C86838EB5F9}"/>
            </a:ext>
          </a:extLst>
        </xdr:cNvPr>
        <xdr:cNvSpPr/>
      </xdr:nvSpPr>
      <xdr:spPr>
        <a:xfrm>
          <a:off x="7880775" y="1659466"/>
          <a:ext cx="4663440" cy="3334173"/>
        </a:xfrm>
        <a:prstGeom prst="roundRect">
          <a:avLst/>
        </a:prstGeom>
        <a:gradFill flip="none" rotWithShape="1">
          <a:gsLst>
            <a:gs pos="15000">
              <a:srgbClr val="E3EFF1"/>
            </a:gs>
            <a:gs pos="74000">
              <a:schemeClr val="accent1">
                <a:lumMod val="45000"/>
                <a:lumOff val="55000"/>
              </a:schemeClr>
            </a:gs>
            <a:gs pos="83000">
              <a:schemeClr val="accent1">
                <a:lumMod val="45000"/>
                <a:lumOff val="55000"/>
              </a:schemeClr>
            </a:gs>
            <a:gs pos="100000">
              <a:schemeClr val="accent1">
                <a:lumMod val="30000"/>
                <a:lumOff val="70000"/>
              </a:schemeClr>
            </a:gs>
          </a:gsLst>
          <a:path path="rect">
            <a:fillToRect l="100000" t="100000"/>
          </a:path>
          <a:tileRect r="-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cap="none" spc="0">
              <a:ln w="0"/>
              <a:solidFill>
                <a:schemeClr val="tx1"/>
              </a:solidFill>
              <a:effectLst>
                <a:outerShdw blurRad="38100" dist="19050" dir="2700000" algn="tl" rotWithShape="0">
                  <a:schemeClr val="dk1">
                    <a:alpha val="40000"/>
                  </a:schemeClr>
                </a:outerShdw>
              </a:effectLst>
            </a:rPr>
            <a:t>AVERAGE SALARY BY DEPARTMENT</a:t>
          </a:r>
          <a:endParaRPr lang="en-US" sz="1800" b="1"/>
        </a:p>
      </xdr:txBody>
    </xdr:sp>
    <xdr:clientData/>
  </xdr:twoCellAnchor>
  <xdr:twoCellAnchor>
    <xdr:from>
      <xdr:col>13</xdr:col>
      <xdr:colOff>52543</xdr:colOff>
      <xdr:row>28</xdr:row>
      <xdr:rowOff>47313</xdr:rowOff>
    </xdr:from>
    <xdr:to>
      <xdr:col>23</xdr:col>
      <xdr:colOff>429559</xdr:colOff>
      <xdr:row>47</xdr:row>
      <xdr:rowOff>149412</xdr:rowOff>
    </xdr:to>
    <xdr:sp macro="" textlink="">
      <xdr:nvSpPr>
        <xdr:cNvPr id="20" name="Rectangle: Rounded Corners 19">
          <a:extLst>
            <a:ext uri="{FF2B5EF4-FFF2-40B4-BE49-F238E27FC236}">
              <a16:creationId xmlns:a16="http://schemas.microsoft.com/office/drawing/2014/main" id="{E1244698-04DA-4375-950B-053F91D21E84}"/>
            </a:ext>
          </a:extLst>
        </xdr:cNvPr>
        <xdr:cNvSpPr/>
      </xdr:nvSpPr>
      <xdr:spPr>
        <a:xfrm>
          <a:off x="8064749" y="5276725"/>
          <a:ext cx="6540251" cy="3650628"/>
        </a:xfrm>
        <a:prstGeom prst="roundRect">
          <a:avLst/>
        </a:prstGeom>
        <a:gradFill flip="none" rotWithShape="1">
          <a:gsLst>
            <a:gs pos="15000">
              <a:srgbClr val="E3EFF1"/>
            </a:gs>
            <a:gs pos="74000">
              <a:schemeClr val="accent1">
                <a:lumMod val="45000"/>
                <a:lumOff val="55000"/>
              </a:schemeClr>
            </a:gs>
            <a:gs pos="83000">
              <a:schemeClr val="accent1">
                <a:lumMod val="45000"/>
                <a:lumOff val="55000"/>
              </a:schemeClr>
            </a:gs>
            <a:gs pos="100000">
              <a:schemeClr val="accent1">
                <a:lumMod val="30000"/>
                <a:lumOff val="70000"/>
              </a:schemeClr>
            </a:gs>
          </a:gsLst>
          <a:path path="rect">
            <a:fillToRect l="100000" t="100000"/>
          </a:path>
          <a:tileRect r="-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589993</xdr:colOff>
      <xdr:row>28</xdr:row>
      <xdr:rowOff>11586</xdr:rowOff>
    </xdr:from>
    <xdr:to>
      <xdr:col>12</xdr:col>
      <xdr:colOff>376633</xdr:colOff>
      <xdr:row>48</xdr:row>
      <xdr:rowOff>11587</xdr:rowOff>
    </xdr:to>
    <xdr:sp macro="" textlink="">
      <xdr:nvSpPr>
        <xdr:cNvPr id="21" name="Rectangle: Rounded Corners 20">
          <a:extLst>
            <a:ext uri="{FF2B5EF4-FFF2-40B4-BE49-F238E27FC236}">
              <a16:creationId xmlns:a16="http://schemas.microsoft.com/office/drawing/2014/main" id="{6D26009D-29B2-4C13-9A3E-217FB60D8D49}"/>
            </a:ext>
          </a:extLst>
        </xdr:cNvPr>
        <xdr:cNvSpPr/>
      </xdr:nvSpPr>
      <xdr:spPr>
        <a:xfrm>
          <a:off x="3040870" y="5314393"/>
          <a:ext cx="4688395" cy="3787720"/>
        </a:xfrm>
        <a:prstGeom prst="roundRect">
          <a:avLst/>
        </a:prstGeom>
        <a:gradFill flip="none" rotWithShape="1">
          <a:gsLst>
            <a:gs pos="15000">
              <a:srgbClr val="E3EFF1"/>
            </a:gs>
            <a:gs pos="74000">
              <a:schemeClr val="accent1">
                <a:lumMod val="45000"/>
                <a:lumOff val="55000"/>
              </a:schemeClr>
            </a:gs>
            <a:gs pos="83000">
              <a:schemeClr val="accent1">
                <a:lumMod val="45000"/>
                <a:lumOff val="55000"/>
              </a:schemeClr>
            </a:gs>
            <a:gs pos="100000">
              <a:schemeClr val="accent1">
                <a:lumMod val="30000"/>
                <a:lumOff val="70000"/>
              </a:schemeClr>
            </a:gs>
          </a:gsLst>
          <a:path path="rect">
            <a:fillToRect l="100000" t="100000"/>
          </a:path>
          <a:tileRect r="-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518160</xdr:colOff>
      <xdr:row>11</xdr:row>
      <xdr:rowOff>135467</xdr:rowOff>
    </xdr:from>
    <xdr:to>
      <xdr:col>12</xdr:col>
      <xdr:colOff>33867</xdr:colOff>
      <xdr:row>26</xdr:row>
      <xdr:rowOff>33866</xdr:rowOff>
    </xdr:to>
    <xdr:graphicFrame macro="">
      <xdr:nvGraphicFramePr>
        <xdr:cNvPr id="22" name="Chart 21">
          <a:extLst>
            <a:ext uri="{FF2B5EF4-FFF2-40B4-BE49-F238E27FC236}">
              <a16:creationId xmlns:a16="http://schemas.microsoft.com/office/drawing/2014/main" id="{D7C6B0B6-E5CD-415B-9176-C16D04CD64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237067</xdr:colOff>
      <xdr:row>2</xdr:row>
      <xdr:rowOff>84667</xdr:rowOff>
    </xdr:from>
    <xdr:to>
      <xdr:col>31</xdr:col>
      <xdr:colOff>558800</xdr:colOff>
      <xdr:row>7</xdr:row>
      <xdr:rowOff>169333</xdr:rowOff>
    </xdr:to>
    <xdr:sp macro="" textlink="">
      <xdr:nvSpPr>
        <xdr:cNvPr id="25" name="TextBox 24">
          <a:extLst>
            <a:ext uri="{FF2B5EF4-FFF2-40B4-BE49-F238E27FC236}">
              <a16:creationId xmlns:a16="http://schemas.microsoft.com/office/drawing/2014/main" id="{9C90925A-B5A2-FA3E-86F5-BD4851A05CB7}"/>
            </a:ext>
          </a:extLst>
        </xdr:cNvPr>
        <xdr:cNvSpPr txBox="1"/>
      </xdr:nvSpPr>
      <xdr:spPr>
        <a:xfrm>
          <a:off x="3285067" y="457200"/>
          <a:ext cx="16171333" cy="1016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6000">
              <a:latin typeface="Bookman Old Style" panose="02050604050505020204" pitchFamily="18" charset="0"/>
            </a:rPr>
            <a:t>EMPLOYEE </a:t>
          </a:r>
        </a:p>
      </xdr:txBody>
    </xdr:sp>
    <xdr:clientData/>
  </xdr:twoCellAnchor>
  <xdr:twoCellAnchor editAs="oneCell">
    <xdr:from>
      <xdr:col>13</xdr:col>
      <xdr:colOff>304800</xdr:colOff>
      <xdr:row>2</xdr:row>
      <xdr:rowOff>67734</xdr:rowOff>
    </xdr:from>
    <xdr:to>
      <xdr:col>15</xdr:col>
      <xdr:colOff>0</xdr:colOff>
      <xdr:row>7</xdr:row>
      <xdr:rowOff>50800</xdr:rowOff>
    </xdr:to>
    <xdr:pic>
      <xdr:nvPicPr>
        <xdr:cNvPr id="27" name="Graphic 26" descr="Employee badge with solid fill">
          <a:extLst>
            <a:ext uri="{FF2B5EF4-FFF2-40B4-BE49-F238E27FC236}">
              <a16:creationId xmlns:a16="http://schemas.microsoft.com/office/drawing/2014/main" id="{B159C9D7-443F-DAFA-3622-5D28D10AEF91}"/>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8229600" y="440267"/>
          <a:ext cx="914400" cy="914400"/>
        </a:xfrm>
        <a:prstGeom prst="rect">
          <a:avLst/>
        </a:prstGeom>
      </xdr:spPr>
    </xdr:pic>
    <xdr:clientData/>
  </xdr:twoCellAnchor>
  <xdr:twoCellAnchor>
    <xdr:from>
      <xdr:col>12</xdr:col>
      <xdr:colOff>326570</xdr:colOff>
      <xdr:row>18</xdr:row>
      <xdr:rowOff>166309</xdr:rowOff>
    </xdr:from>
    <xdr:to>
      <xdr:col>21</xdr:col>
      <xdr:colOff>13606</xdr:colOff>
      <xdr:row>22</xdr:row>
      <xdr:rowOff>57150</xdr:rowOff>
    </xdr:to>
    <xdr:sp macro="" textlink="'AVERAGE SALARY'!B9">
      <xdr:nvSpPr>
        <xdr:cNvPr id="30" name="Rectangle: Rounded Corners 29">
          <a:extLst>
            <a:ext uri="{FF2B5EF4-FFF2-40B4-BE49-F238E27FC236}">
              <a16:creationId xmlns:a16="http://schemas.microsoft.com/office/drawing/2014/main" id="{690C3277-7737-24AD-B1D6-C05F3FA40B1F}"/>
            </a:ext>
          </a:extLst>
        </xdr:cNvPr>
        <xdr:cNvSpPr/>
      </xdr:nvSpPr>
      <xdr:spPr>
        <a:xfrm>
          <a:off x="7674427" y="3350380"/>
          <a:ext cx="5197929" cy="598413"/>
        </a:xfrm>
        <a:prstGeom prst="roundRect">
          <a:avLst/>
        </a:prstGeom>
        <a:solidFill>
          <a:srgbClr val="94DDF4"/>
        </a:solidFill>
        <a:ln>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37E1B3E-B9DD-4F2B-9E5E-069BD536380B}" type="TxLink">
            <a:rPr lang="en-US" sz="4000" b="1" i="1" u="none" strike="noStrike">
              <a:solidFill>
                <a:srgbClr val="000000"/>
              </a:solidFill>
              <a:latin typeface="Aptos Narrow"/>
            </a:rPr>
            <a:pPr algn="ctr"/>
            <a:t>₹ 164,615.22</a:t>
          </a:fld>
          <a:endParaRPr lang="en-US" sz="4000" b="1" i="1"/>
        </a:p>
      </xdr:txBody>
    </xdr:sp>
    <xdr:clientData/>
  </xdr:twoCellAnchor>
  <xdr:twoCellAnchor>
    <xdr:from>
      <xdr:col>13</xdr:col>
      <xdr:colOff>0</xdr:colOff>
      <xdr:row>11</xdr:row>
      <xdr:rowOff>33867</xdr:rowOff>
    </xdr:from>
    <xdr:to>
      <xdr:col>20</xdr:col>
      <xdr:colOff>237068</xdr:colOff>
      <xdr:row>14</xdr:row>
      <xdr:rowOff>101601</xdr:rowOff>
    </xdr:to>
    <xdr:sp macro="" textlink="">
      <xdr:nvSpPr>
        <xdr:cNvPr id="31" name="Rectangle: Rounded Corners 30">
          <a:extLst>
            <a:ext uri="{FF2B5EF4-FFF2-40B4-BE49-F238E27FC236}">
              <a16:creationId xmlns:a16="http://schemas.microsoft.com/office/drawing/2014/main" id="{6D3B88DA-4814-4B9B-870B-2E55763474D8}"/>
            </a:ext>
          </a:extLst>
        </xdr:cNvPr>
        <xdr:cNvSpPr/>
      </xdr:nvSpPr>
      <xdr:spPr>
        <a:xfrm>
          <a:off x="7924800" y="2082800"/>
          <a:ext cx="4504268" cy="626534"/>
        </a:xfrm>
        <a:prstGeom prst="roundRect">
          <a:avLst/>
        </a:prstGeom>
        <a:no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152400</xdr:colOff>
      <xdr:row>9</xdr:row>
      <xdr:rowOff>169334</xdr:rowOff>
    </xdr:from>
    <xdr:to>
      <xdr:col>11</xdr:col>
      <xdr:colOff>440266</xdr:colOff>
      <xdr:row>11</xdr:row>
      <xdr:rowOff>101600</xdr:rowOff>
    </xdr:to>
    <xdr:sp macro="" textlink="">
      <xdr:nvSpPr>
        <xdr:cNvPr id="32" name="TextBox 31">
          <a:extLst>
            <a:ext uri="{FF2B5EF4-FFF2-40B4-BE49-F238E27FC236}">
              <a16:creationId xmlns:a16="http://schemas.microsoft.com/office/drawing/2014/main" id="{3E1BAFAA-CA66-2F8F-EC04-03FD7426945D}"/>
            </a:ext>
          </a:extLst>
        </xdr:cNvPr>
        <xdr:cNvSpPr txBox="1"/>
      </xdr:nvSpPr>
      <xdr:spPr>
        <a:xfrm>
          <a:off x="3200400" y="1845734"/>
          <a:ext cx="3945466" cy="304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tx1"/>
              </a:solidFill>
            </a:rPr>
            <a:t>EMPLOYEES IN EACH DEPARTMENT</a:t>
          </a:r>
        </a:p>
      </xdr:txBody>
    </xdr:sp>
    <xdr:clientData/>
  </xdr:twoCellAnchor>
  <xdr:twoCellAnchor>
    <xdr:from>
      <xdr:col>5</xdr:col>
      <xdr:colOff>237067</xdr:colOff>
      <xdr:row>29</xdr:row>
      <xdr:rowOff>33867</xdr:rowOff>
    </xdr:from>
    <xdr:to>
      <xdr:col>11</xdr:col>
      <xdr:colOff>491067</xdr:colOff>
      <xdr:row>31</xdr:row>
      <xdr:rowOff>16933</xdr:rowOff>
    </xdr:to>
    <xdr:sp macro="" textlink="">
      <xdr:nvSpPr>
        <xdr:cNvPr id="33" name="TextBox 32">
          <a:extLst>
            <a:ext uri="{FF2B5EF4-FFF2-40B4-BE49-F238E27FC236}">
              <a16:creationId xmlns:a16="http://schemas.microsoft.com/office/drawing/2014/main" id="{2CEE8D36-735A-F532-4CCE-0E3345A81D09}"/>
            </a:ext>
          </a:extLst>
        </xdr:cNvPr>
        <xdr:cNvSpPr txBox="1"/>
      </xdr:nvSpPr>
      <xdr:spPr>
        <a:xfrm>
          <a:off x="3285067" y="5435600"/>
          <a:ext cx="391160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t>MANAGERS</a:t>
          </a:r>
          <a:r>
            <a:rPr lang="en-US" sz="1800" b="1" baseline="0"/>
            <a:t> AND NON MANAGERS</a:t>
          </a:r>
          <a:endParaRPr lang="en-US" sz="1800" b="1"/>
        </a:p>
      </xdr:txBody>
    </xdr:sp>
    <xdr:clientData/>
  </xdr:twoCellAnchor>
  <xdr:twoCellAnchor>
    <xdr:from>
      <xdr:col>11</xdr:col>
      <xdr:colOff>131483</xdr:colOff>
      <xdr:row>29</xdr:row>
      <xdr:rowOff>60761</xdr:rowOff>
    </xdr:from>
    <xdr:to>
      <xdr:col>26</xdr:col>
      <xdr:colOff>63749</xdr:colOff>
      <xdr:row>32</xdr:row>
      <xdr:rowOff>60761</xdr:rowOff>
    </xdr:to>
    <xdr:sp macro="" textlink="">
      <xdr:nvSpPr>
        <xdr:cNvPr id="34" name="TextBox 33">
          <a:extLst>
            <a:ext uri="{FF2B5EF4-FFF2-40B4-BE49-F238E27FC236}">
              <a16:creationId xmlns:a16="http://schemas.microsoft.com/office/drawing/2014/main" id="{F873A272-5BD7-8490-3520-79830002A580}"/>
            </a:ext>
          </a:extLst>
        </xdr:cNvPr>
        <xdr:cNvSpPr txBox="1"/>
      </xdr:nvSpPr>
      <xdr:spPr>
        <a:xfrm>
          <a:off x="6911042" y="5476937"/>
          <a:ext cx="9177119" cy="560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t>MOST EXPERIENCED EMPLOYEES</a:t>
          </a:r>
        </a:p>
      </xdr:txBody>
    </xdr:sp>
    <xdr:clientData/>
  </xdr:twoCellAnchor>
  <xdr:twoCellAnchor editAs="oneCell">
    <xdr:from>
      <xdr:col>15</xdr:col>
      <xdr:colOff>575732</xdr:colOff>
      <xdr:row>12</xdr:row>
      <xdr:rowOff>118532</xdr:rowOff>
    </xdr:from>
    <xdr:to>
      <xdr:col>17</xdr:col>
      <xdr:colOff>558799</xdr:colOff>
      <xdr:row>19</xdr:row>
      <xdr:rowOff>16932</xdr:rowOff>
    </xdr:to>
    <xdr:pic>
      <xdr:nvPicPr>
        <xdr:cNvPr id="37" name="Graphic 36" descr="Coins with solid fill">
          <a:extLst>
            <a:ext uri="{FF2B5EF4-FFF2-40B4-BE49-F238E27FC236}">
              <a16:creationId xmlns:a16="http://schemas.microsoft.com/office/drawing/2014/main" id="{FFEE2A17-F854-78E5-D3F4-EE37529419A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9719732" y="2353732"/>
          <a:ext cx="1202267" cy="1202267"/>
        </a:xfrm>
        <a:prstGeom prst="rect">
          <a:avLst/>
        </a:prstGeom>
      </xdr:spPr>
    </xdr:pic>
    <xdr:clientData/>
  </xdr:twoCellAnchor>
  <xdr:twoCellAnchor>
    <xdr:from>
      <xdr:col>14</xdr:col>
      <xdr:colOff>152400</xdr:colOff>
      <xdr:row>32</xdr:row>
      <xdr:rowOff>33867</xdr:rowOff>
    </xdr:from>
    <xdr:to>
      <xdr:col>23</xdr:col>
      <xdr:colOff>18678</xdr:colOff>
      <xdr:row>46</xdr:row>
      <xdr:rowOff>33866</xdr:rowOff>
    </xdr:to>
    <xdr:graphicFrame macro="">
      <xdr:nvGraphicFramePr>
        <xdr:cNvPr id="38" name="Chart 37">
          <a:extLst>
            <a:ext uri="{FF2B5EF4-FFF2-40B4-BE49-F238E27FC236}">
              <a16:creationId xmlns:a16="http://schemas.microsoft.com/office/drawing/2014/main" id="{84B44C72-1217-4F8D-BEFD-7C8FB39786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101600</xdr:colOff>
      <xdr:row>31</xdr:row>
      <xdr:rowOff>67731</xdr:rowOff>
    </xdr:from>
    <xdr:to>
      <xdr:col>11</xdr:col>
      <xdr:colOff>440267</xdr:colOff>
      <xdr:row>49</xdr:row>
      <xdr:rowOff>135467</xdr:rowOff>
    </xdr:to>
    <xdr:graphicFrame macro="">
      <xdr:nvGraphicFramePr>
        <xdr:cNvPr id="39" name="Chart 38">
          <a:extLst>
            <a:ext uri="{FF2B5EF4-FFF2-40B4-BE49-F238E27FC236}">
              <a16:creationId xmlns:a16="http://schemas.microsoft.com/office/drawing/2014/main" id="{7D6E13DF-D02C-4141-B55E-6D25FDE749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21</xdr:col>
      <xdr:colOff>440836</xdr:colOff>
      <xdr:row>9</xdr:row>
      <xdr:rowOff>6261</xdr:rowOff>
    </xdr:from>
    <xdr:to>
      <xdr:col>32</xdr:col>
      <xdr:colOff>210544</xdr:colOff>
      <xdr:row>26</xdr:row>
      <xdr:rowOff>119342</xdr:rowOff>
    </xdr:to>
    <xdr:sp macro="" textlink="">
      <xdr:nvSpPr>
        <xdr:cNvPr id="41" name="Rectangle: Rounded Corners 40">
          <a:extLst>
            <a:ext uri="{FF2B5EF4-FFF2-40B4-BE49-F238E27FC236}">
              <a16:creationId xmlns:a16="http://schemas.microsoft.com/office/drawing/2014/main" id="{E5F83BE8-96EF-4D1D-A5EB-2E164F2D3844}"/>
            </a:ext>
          </a:extLst>
        </xdr:cNvPr>
        <xdr:cNvSpPr/>
      </xdr:nvSpPr>
      <xdr:spPr>
        <a:xfrm>
          <a:off x="13188192" y="1633583"/>
          <a:ext cx="6446894" cy="3186912"/>
        </a:xfrm>
        <a:prstGeom prst="roundRect">
          <a:avLst/>
        </a:prstGeom>
        <a:gradFill flip="none" rotWithShape="1">
          <a:gsLst>
            <a:gs pos="15000">
              <a:srgbClr val="E3EFF1"/>
            </a:gs>
            <a:gs pos="74000">
              <a:schemeClr val="accent1">
                <a:lumMod val="45000"/>
                <a:lumOff val="55000"/>
              </a:schemeClr>
            </a:gs>
            <a:gs pos="83000">
              <a:schemeClr val="accent1">
                <a:lumMod val="45000"/>
                <a:lumOff val="55000"/>
              </a:schemeClr>
            </a:gs>
            <a:gs pos="100000">
              <a:schemeClr val="accent1">
                <a:lumMod val="30000"/>
                <a:lumOff val="70000"/>
              </a:schemeClr>
            </a:gs>
          </a:gsLst>
          <a:path path="rect">
            <a:fillToRect l="100000" t="100000"/>
          </a:path>
          <a:tileRect r="-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435428</xdr:colOff>
      <xdr:row>13</xdr:row>
      <xdr:rowOff>51662</xdr:rowOff>
    </xdr:from>
    <xdr:to>
      <xdr:col>31</xdr:col>
      <xdr:colOff>186611</xdr:colOff>
      <xdr:row>25</xdr:row>
      <xdr:rowOff>179392</xdr:rowOff>
    </xdr:to>
    <xdr:graphicFrame macro="">
      <xdr:nvGraphicFramePr>
        <xdr:cNvPr id="43" name="Chart 42">
          <a:extLst>
            <a:ext uri="{FF2B5EF4-FFF2-40B4-BE49-F238E27FC236}">
              <a16:creationId xmlns:a16="http://schemas.microsoft.com/office/drawing/2014/main" id="{9E01F733-4D61-49C3-9B0B-8C33559D54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22</xdr:col>
      <xdr:colOff>180814</xdr:colOff>
      <xdr:row>9</xdr:row>
      <xdr:rowOff>116238</xdr:rowOff>
    </xdr:from>
    <xdr:to>
      <xdr:col>31</xdr:col>
      <xdr:colOff>400374</xdr:colOff>
      <xdr:row>11</xdr:row>
      <xdr:rowOff>103323</xdr:rowOff>
    </xdr:to>
    <xdr:sp macro="" textlink="">
      <xdr:nvSpPr>
        <xdr:cNvPr id="44" name="Rectangle 43">
          <a:extLst>
            <a:ext uri="{FF2B5EF4-FFF2-40B4-BE49-F238E27FC236}">
              <a16:creationId xmlns:a16="http://schemas.microsoft.com/office/drawing/2014/main" id="{36B08842-0DB3-FEE9-5CBC-47B71BB77175}"/>
            </a:ext>
          </a:extLst>
        </xdr:cNvPr>
        <xdr:cNvSpPr/>
      </xdr:nvSpPr>
      <xdr:spPr>
        <a:xfrm>
          <a:off x="13535187" y="1743560"/>
          <a:ext cx="5682712" cy="34871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tx1"/>
              </a:solidFill>
            </a:rPr>
            <a:t>AGE GROUP</a:t>
          </a:r>
          <a:r>
            <a:rPr lang="en-US" sz="1800" b="1" baseline="0">
              <a:solidFill>
                <a:schemeClr val="tx1"/>
              </a:solidFill>
            </a:rPr>
            <a:t> BY DEPARTMENT</a:t>
          </a:r>
          <a:endParaRPr lang="en-US" sz="1800" b="1">
            <a:solidFill>
              <a:schemeClr val="tx1"/>
            </a:solidFill>
          </a:endParaRPr>
        </a:p>
      </xdr:txBody>
    </xdr:sp>
    <xdr:clientData/>
  </xdr:twoCellAnchor>
  <xdr:twoCellAnchor editAs="oneCell">
    <xdr:from>
      <xdr:col>0</xdr:col>
      <xdr:colOff>555909</xdr:colOff>
      <xdr:row>10</xdr:row>
      <xdr:rowOff>1773</xdr:rowOff>
    </xdr:from>
    <xdr:to>
      <xdr:col>4</xdr:col>
      <xdr:colOff>88730</xdr:colOff>
      <xdr:row>45</xdr:row>
      <xdr:rowOff>143725</xdr:rowOff>
    </xdr:to>
    <mc:AlternateContent xmlns:mc="http://schemas.openxmlformats.org/markup-compatibility/2006" xmlns:a14="http://schemas.microsoft.com/office/drawing/2010/main">
      <mc:Choice Requires="a14">
        <xdr:graphicFrame macro="">
          <xdr:nvGraphicFramePr>
            <xdr:cNvPr id="45" name="Department 1">
              <a:extLst>
                <a:ext uri="{FF2B5EF4-FFF2-40B4-BE49-F238E27FC236}">
                  <a16:creationId xmlns:a16="http://schemas.microsoft.com/office/drawing/2014/main" id="{6DB79822-BFC1-4DB9-8E57-8DB82A830D0D}"/>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555909" y="1906773"/>
              <a:ext cx="1971221" cy="68094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392206</xdr:colOff>
      <xdr:row>28</xdr:row>
      <xdr:rowOff>130734</xdr:rowOff>
    </xdr:from>
    <xdr:to>
      <xdr:col>32</xdr:col>
      <xdr:colOff>480540</xdr:colOff>
      <xdr:row>46</xdr:row>
      <xdr:rowOff>74705</xdr:rowOff>
    </xdr:to>
    <xdr:graphicFrame macro="">
      <xdr:nvGraphicFramePr>
        <xdr:cNvPr id="2" name="Chart 1">
          <a:extLst>
            <a:ext uri="{FF2B5EF4-FFF2-40B4-BE49-F238E27FC236}">
              <a16:creationId xmlns:a16="http://schemas.microsoft.com/office/drawing/2014/main" id="{63F2EDFF-D88E-4979-86DB-6F715FFA04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32</xdr:col>
      <xdr:colOff>516839</xdr:colOff>
      <xdr:row>22</xdr:row>
      <xdr:rowOff>125375</xdr:rowOff>
    </xdr:from>
    <xdr:to>
      <xdr:col>35</xdr:col>
      <xdr:colOff>527230</xdr:colOff>
      <xdr:row>29</xdr:row>
      <xdr:rowOff>183103</xdr:rowOff>
    </xdr:to>
    <mc:AlternateContent xmlns:mc="http://schemas.openxmlformats.org/markup-compatibility/2006">
      <mc:Choice xmlns:a14="http://schemas.microsoft.com/office/drawing/2010/main" Requires="a14">
        <xdr:graphicFrame macro="">
          <xdr:nvGraphicFramePr>
            <xdr:cNvPr id="4" name="Is_Manager 1">
              <a:extLst>
                <a:ext uri="{FF2B5EF4-FFF2-40B4-BE49-F238E27FC236}">
                  <a16:creationId xmlns:a16="http://schemas.microsoft.com/office/drawing/2014/main" id="{EDD7D875-AFEF-4D9A-9F12-F8264C02472A}"/>
                </a:ext>
              </a:extLst>
            </xdr:cNvPr>
            <xdr:cNvGraphicFramePr/>
          </xdr:nvGraphicFramePr>
          <xdr:xfrm>
            <a:off x="0" y="0"/>
            <a:ext cx="0" cy="0"/>
          </xdr:xfrm>
          <a:graphic>
            <a:graphicData uri="http://schemas.microsoft.com/office/drawing/2010/slicer">
              <sle:slicer xmlns:sle="http://schemas.microsoft.com/office/drawing/2010/slicer" name="Is_Manager 1"/>
            </a:graphicData>
          </a:graphic>
        </xdr:graphicFrame>
      </mc:Choice>
      <mc:Fallback>
        <xdr:sp macro="" textlink="">
          <xdr:nvSpPr>
            <xdr:cNvPr id="0" name=""/>
            <xdr:cNvSpPr>
              <a:spLocks noTextEdit="1"/>
            </xdr:cNvSpPr>
          </xdr:nvSpPr>
          <xdr:spPr>
            <a:xfrm>
              <a:off x="19884339" y="4272719"/>
              <a:ext cx="1826094" cy="13773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refreshedDate="46278.500905208333" createdVersion="8" refreshedVersion="8" minRefreshableVersion="3" recordCount="500" xr:uid="{4FB471C2-F244-4E44-8F2F-1A11DB1D45F9}">
  <cacheSource type="worksheet">
    <worksheetSource ref="A1:I501" sheet="CLEANED DATA"/>
  </cacheSource>
  <cacheFields count="10">
    <cacheField name="Index" numFmtId="0">
      <sharedItems containsSemiMixedTypes="0" containsString="0" containsNumber="1" containsInteger="1" minValue="0" maxValue="499"/>
    </cacheField>
    <cacheField name="Employee_ID" numFmtId="0">
      <sharedItems containsSemiMixedTypes="0" containsString="0" containsNumber="1" containsInteger="1" minValue="1002" maxValue="9981"/>
    </cacheField>
    <cacheField name="Age" numFmtId="0">
      <sharedItems containsSemiMixedTypes="0" containsString="0" containsNumber="1" containsInteger="1" minValue="22" maxValue="64"/>
    </cacheField>
    <cacheField name="Is_Manager" numFmtId="0">
      <sharedItems/>
    </cacheField>
    <cacheField name="Department" numFmtId="0">
      <sharedItems count="5">
        <s v="Finance"/>
        <s v="Sales"/>
        <s v="Marketing"/>
        <s v="Hr"/>
        <s v="It"/>
      </sharedItems>
    </cacheField>
    <cacheField name="Join_Date" numFmtId="14">
      <sharedItems containsSemiMixedTypes="0" containsNonDate="0" containsDate="1" containsString="0" minDate="1970-01-13T00:00:00" maxDate="2025-10-02T00:00:00" count="495">
        <d v="1994-03-24T00:00:00"/>
        <d v="1979-12-08T00:00:00"/>
        <d v="1998-09-25T00:00:00"/>
        <d v="2011-11-23T00:00:00"/>
        <d v="1976-10-08T00:00:00"/>
        <d v="1982-06-07T00:00:00"/>
        <d v="1981-11-12T00:00:00"/>
        <d v="1983-09-28T00:00:00"/>
        <d v="2021-01-22T00:00:00"/>
        <d v="2014-10-03T00:00:00"/>
        <d v="1974-03-12T00:00:00"/>
        <d v="1991-06-08T00:00:00"/>
        <d v="2015-04-22T00:00:00"/>
        <d v="1984-08-07T00:00:00"/>
        <d v="2004-11-17T00:00:00"/>
        <d v="1982-11-04T00:00:00"/>
        <d v="2001-03-22T00:00:00"/>
        <d v="2023-11-23T00:00:00"/>
        <d v="2002-05-02T00:00:00"/>
        <d v="1992-10-09T00:00:00"/>
        <d v="1973-05-13T00:00:00"/>
        <d v="2009-10-31T00:00:00"/>
        <d v="2013-07-29T00:00:00"/>
        <d v="2014-06-12T00:00:00"/>
        <d v="1985-02-13T00:00:00"/>
        <d v="2009-03-13T00:00:00"/>
        <d v="1996-03-20T00:00:00"/>
        <d v="1972-02-13T00:00:00"/>
        <d v="2008-03-10T00:00:00"/>
        <d v="1980-07-01T00:00:00"/>
        <d v="2004-09-02T00:00:00"/>
        <d v="1976-01-13T00:00:00"/>
        <d v="1994-07-22T00:00:00"/>
        <d v="1976-08-09T00:00:00"/>
        <d v="2019-03-03T00:00:00"/>
        <d v="1972-11-15T00:00:00"/>
        <d v="1971-09-28T00:00:00"/>
        <d v="2024-08-06T00:00:00"/>
        <d v="1988-09-17T00:00:00"/>
        <d v="1977-06-23T00:00:00"/>
        <d v="2008-08-10T00:00:00"/>
        <d v="1994-09-16T00:00:00"/>
        <d v="2021-02-04T00:00:00"/>
        <d v="1974-02-20T00:00:00"/>
        <d v="2022-04-21T00:00:00"/>
        <d v="1982-01-11T00:00:00"/>
        <d v="2019-05-11T00:00:00"/>
        <d v="2000-01-14T00:00:00"/>
        <d v="2006-09-01T00:00:00"/>
        <d v="2012-06-09T00:00:00"/>
        <d v="1975-04-15T00:00:00"/>
        <d v="1994-12-18T00:00:00"/>
        <d v="1987-10-22T00:00:00"/>
        <d v="2020-02-08T00:00:00"/>
        <d v="2013-11-07T00:00:00"/>
        <d v="2003-03-12T00:00:00"/>
        <d v="1974-05-21T00:00:00"/>
        <d v="1990-04-11T00:00:00"/>
        <d v="1987-06-20T00:00:00"/>
        <d v="1976-10-19T00:00:00"/>
        <d v="2008-09-18T00:00:00"/>
        <d v="2004-08-21T00:00:00"/>
        <d v="2008-09-24T00:00:00"/>
        <d v="1976-04-01T00:00:00"/>
        <d v="2005-06-25T00:00:00"/>
        <d v="2000-05-25T00:00:00"/>
        <d v="1976-05-08T00:00:00"/>
        <d v="2002-06-21T00:00:00"/>
        <d v="1997-01-28T00:00:00"/>
        <d v="2019-08-04T00:00:00"/>
        <d v="1974-06-04T00:00:00"/>
        <d v="1991-05-11T00:00:00"/>
        <d v="1992-02-07T00:00:00"/>
        <d v="1992-09-04T00:00:00"/>
        <d v="1997-03-24T00:00:00"/>
        <d v="1983-05-10T00:00:00"/>
        <d v="2022-12-16T00:00:00"/>
        <d v="1971-02-23T00:00:00"/>
        <d v="1980-02-29T00:00:00"/>
        <d v="2013-06-16T00:00:00"/>
        <d v="1974-11-01T00:00:00"/>
        <d v="2012-11-24T00:00:00"/>
        <d v="2015-08-11T00:00:00"/>
        <d v="1976-07-21T00:00:00"/>
        <d v="2008-09-26T00:00:00"/>
        <d v="1996-04-10T00:00:00"/>
        <d v="1997-04-13T00:00:00"/>
        <d v="2004-05-21T00:00:00"/>
        <d v="2020-11-15T00:00:00"/>
        <d v="1989-07-21T00:00:00"/>
        <d v="2025-10-01T00:00:00"/>
        <d v="1981-12-31T00:00:00"/>
        <d v="2006-04-28T00:00:00"/>
        <d v="2013-12-21T00:00:00"/>
        <d v="2009-02-12T00:00:00"/>
        <d v="2004-01-02T00:00:00"/>
        <d v="2018-08-10T00:00:00"/>
        <d v="2017-08-07T00:00:00"/>
        <d v="2023-09-18T00:00:00"/>
        <d v="2005-07-08T00:00:00"/>
        <d v="2025-01-13T00:00:00"/>
        <d v="1985-08-29T00:00:00"/>
        <d v="1984-06-06T00:00:00"/>
        <d v="2013-07-13T00:00:00"/>
        <d v="1991-04-21T00:00:00"/>
        <d v="1975-09-24T00:00:00"/>
        <d v="1987-05-06T00:00:00"/>
        <d v="1997-06-27T00:00:00"/>
        <d v="2022-08-10T00:00:00"/>
        <d v="1996-11-20T00:00:00"/>
        <d v="1978-08-21T00:00:00"/>
        <d v="1985-05-02T00:00:00"/>
        <d v="1984-10-06T00:00:00"/>
        <d v="2007-08-10T00:00:00"/>
        <d v="2016-08-06T00:00:00"/>
        <d v="2002-08-20T00:00:00"/>
        <d v="2010-01-12T00:00:00"/>
        <d v="2012-02-05T00:00:00"/>
        <d v="1978-10-23T00:00:00"/>
        <d v="2006-10-24T00:00:00"/>
        <d v="1985-04-10T00:00:00"/>
        <d v="2006-05-14T00:00:00"/>
        <d v="2006-05-04T00:00:00"/>
        <d v="2017-12-26T00:00:00"/>
        <d v="2020-05-06T00:00:00"/>
        <d v="1979-04-07T00:00:00"/>
        <d v="2018-03-05T00:00:00"/>
        <d v="1984-08-29T00:00:00"/>
        <d v="2018-04-20T00:00:00"/>
        <d v="2016-09-17T00:00:00"/>
        <d v="2003-05-02T00:00:00"/>
        <d v="2010-06-04T00:00:00"/>
        <d v="2017-04-09T00:00:00"/>
        <d v="1989-05-10T00:00:00"/>
        <d v="2014-08-07T00:00:00"/>
        <d v="1983-03-26T00:00:00"/>
        <d v="1983-08-25T00:00:00"/>
        <d v="2014-04-17T00:00:00"/>
        <d v="1990-11-04T00:00:00"/>
        <d v="2008-02-23T00:00:00"/>
        <d v="1975-10-27T00:00:00"/>
        <d v="2003-03-06T00:00:00"/>
        <d v="2006-05-02T00:00:00"/>
        <d v="1998-03-29T00:00:00"/>
        <d v="2001-07-06T00:00:00"/>
        <d v="1991-09-13T00:00:00"/>
        <d v="2017-12-13T00:00:00"/>
        <d v="1984-09-11T00:00:00"/>
        <d v="2000-03-18T00:00:00"/>
        <d v="1978-08-17T00:00:00"/>
        <d v="1971-05-16T00:00:00"/>
        <d v="2017-07-07T00:00:00"/>
        <d v="2005-01-29T00:00:00"/>
        <d v="1984-04-19T00:00:00"/>
        <d v="1997-03-28T00:00:00"/>
        <d v="1977-09-24T00:00:00"/>
        <d v="2016-06-02T00:00:00"/>
        <d v="2002-09-03T00:00:00"/>
        <d v="1975-08-10T00:00:00"/>
        <d v="1973-08-21T00:00:00"/>
        <d v="1992-03-05T00:00:00"/>
        <d v="2009-12-18T00:00:00"/>
        <d v="1982-02-01T00:00:00"/>
        <d v="1977-11-25T00:00:00"/>
        <d v="2006-09-27T00:00:00"/>
        <d v="1972-05-21T00:00:00"/>
        <d v="2008-09-27T00:00:00"/>
        <d v="1998-08-05T00:00:00"/>
        <d v="1983-07-26T00:00:00"/>
        <d v="1982-12-19T00:00:00"/>
        <d v="1997-05-31T00:00:00"/>
        <d v="1989-04-04T00:00:00"/>
        <d v="1995-09-29T00:00:00"/>
        <d v="2020-06-12T00:00:00"/>
        <d v="1991-01-17T00:00:00"/>
        <d v="2004-03-13T00:00:00"/>
        <d v="1981-06-04T00:00:00"/>
        <d v="2005-01-28T00:00:00"/>
        <d v="2018-09-20T00:00:00"/>
        <d v="2002-07-21T00:00:00"/>
        <d v="1988-06-25T00:00:00"/>
        <d v="2016-11-10T00:00:00"/>
        <d v="1973-02-05T00:00:00"/>
        <d v="1993-12-13T00:00:00"/>
        <d v="1995-04-25T00:00:00"/>
        <d v="2007-03-28T00:00:00"/>
        <d v="1974-08-31T00:00:00"/>
        <d v="1981-05-27T00:00:00"/>
        <d v="2012-06-21T00:00:00"/>
        <d v="1992-05-02T00:00:00"/>
        <d v="1971-09-03T00:00:00"/>
        <d v="2005-09-11T00:00:00"/>
        <d v="1992-01-06T00:00:00"/>
        <d v="1981-12-03T00:00:00"/>
        <d v="2013-05-27T00:00:00"/>
        <d v="2022-04-26T00:00:00"/>
        <d v="1981-02-21T00:00:00"/>
        <d v="2023-09-28T00:00:00"/>
        <d v="1989-12-19T00:00:00"/>
        <d v="1983-08-02T00:00:00"/>
        <d v="2013-12-24T00:00:00"/>
        <d v="1973-07-08T00:00:00"/>
        <d v="2014-11-10T00:00:00"/>
        <d v="2005-06-10T00:00:00"/>
        <d v="1991-10-14T00:00:00"/>
        <d v="1976-11-21T00:00:00"/>
        <d v="1977-02-09T00:00:00"/>
        <d v="2009-02-13T00:00:00"/>
        <d v="2023-06-16T00:00:00"/>
        <d v="2018-04-28T00:00:00"/>
        <d v="2024-03-16T00:00:00"/>
        <d v="1999-03-24T00:00:00"/>
        <d v="2023-05-23T00:00:00"/>
        <d v="1980-11-24T00:00:00"/>
        <d v="2004-12-01T00:00:00"/>
        <d v="2014-05-09T00:00:00"/>
        <d v="1999-01-17T00:00:00"/>
        <d v="1978-07-18T00:00:00"/>
        <d v="2022-02-17T00:00:00"/>
        <d v="2003-04-16T00:00:00"/>
        <d v="2021-10-06T00:00:00"/>
        <d v="1976-07-29T00:00:00"/>
        <d v="1979-12-07T00:00:00"/>
        <d v="2006-07-02T00:00:00"/>
        <d v="1978-04-04T00:00:00"/>
        <d v="2020-07-17T00:00:00"/>
        <d v="2024-06-09T00:00:00"/>
        <d v="1996-08-01T00:00:00"/>
        <d v="2007-09-22T00:00:00"/>
        <d v="1988-02-24T00:00:00"/>
        <d v="1997-02-12T00:00:00"/>
        <d v="1972-06-01T00:00:00"/>
        <d v="1980-11-08T00:00:00"/>
        <d v="2012-05-05T00:00:00"/>
        <d v="2010-06-18T00:00:00"/>
        <d v="1972-07-15T00:00:00"/>
        <d v="1970-02-07T00:00:00"/>
        <d v="1981-04-22T00:00:00"/>
        <d v="1974-12-27T00:00:00"/>
        <d v="1979-02-17T00:00:00"/>
        <d v="2006-06-26T00:00:00"/>
        <d v="2001-06-10T00:00:00"/>
        <d v="2025-09-29T00:00:00"/>
        <d v="1991-06-26T00:00:00"/>
        <d v="1985-05-01T00:00:00"/>
        <d v="2005-01-08T00:00:00"/>
        <d v="1994-01-27T00:00:00"/>
        <d v="1983-02-17T00:00:00"/>
        <d v="2023-03-01T00:00:00"/>
        <d v="2005-11-01T00:00:00"/>
        <d v="2008-09-14T00:00:00"/>
        <d v="1996-07-19T00:00:00"/>
        <d v="2002-09-15T00:00:00"/>
        <d v="2009-11-13T00:00:00"/>
        <d v="1975-09-06T00:00:00"/>
        <d v="2009-03-11T00:00:00"/>
        <d v="2010-09-17T00:00:00"/>
        <d v="1991-03-26T00:00:00"/>
        <d v="1989-02-27T00:00:00"/>
        <d v="1979-01-14T00:00:00"/>
        <d v="1991-03-09T00:00:00"/>
        <d v="1970-07-27T00:00:00"/>
        <d v="2023-11-19T00:00:00"/>
        <d v="1984-08-02T00:00:00"/>
        <d v="2015-07-19T00:00:00"/>
        <d v="1993-12-06T00:00:00"/>
        <d v="1970-09-21T00:00:00"/>
        <d v="1992-05-08T00:00:00"/>
        <d v="2010-05-19T00:00:00"/>
        <d v="1972-02-07T00:00:00"/>
        <d v="2005-04-27T00:00:00"/>
        <d v="1983-07-07T00:00:00"/>
        <d v="1973-12-20T00:00:00"/>
        <d v="2018-07-04T00:00:00"/>
        <d v="1993-04-21T00:00:00"/>
        <d v="1987-11-27T00:00:00"/>
        <d v="1989-03-11T00:00:00"/>
        <d v="2001-08-12T00:00:00"/>
        <d v="2007-12-09T00:00:00"/>
        <d v="2019-10-28T00:00:00"/>
        <d v="1999-02-15T00:00:00"/>
        <d v="2022-07-25T00:00:00"/>
        <d v="2004-06-23T00:00:00"/>
        <d v="2022-02-23T00:00:00"/>
        <d v="1970-02-26T00:00:00"/>
        <d v="1998-12-31T00:00:00"/>
        <d v="2007-03-22T00:00:00"/>
        <d v="1990-05-22T00:00:00"/>
        <d v="2009-10-13T00:00:00"/>
        <d v="1999-06-25T00:00:00"/>
        <d v="2014-05-01T00:00:00"/>
        <d v="2023-07-29T00:00:00"/>
        <d v="1979-07-28T00:00:00"/>
        <d v="1970-05-02T00:00:00"/>
        <d v="2016-01-11T00:00:00"/>
        <d v="1998-06-29T00:00:00"/>
        <d v="1980-10-08T00:00:00"/>
        <d v="2009-10-11T00:00:00"/>
        <d v="2013-10-23T00:00:00"/>
        <d v="1980-11-27T00:00:00"/>
        <d v="2006-10-14T00:00:00"/>
        <d v="1994-05-29T00:00:00"/>
        <d v="1970-03-31T00:00:00"/>
        <d v="1974-11-11T00:00:00"/>
        <d v="2008-11-14T00:00:00"/>
        <d v="2022-11-17T00:00:00"/>
        <d v="2012-06-04T00:00:00"/>
        <d v="2005-03-24T00:00:00"/>
        <d v="2018-02-12T00:00:00"/>
        <d v="1973-02-12T00:00:00"/>
        <d v="1998-07-31T00:00:00"/>
        <d v="1984-05-31T00:00:00"/>
        <d v="2018-10-24T00:00:00"/>
        <d v="2010-03-16T00:00:00"/>
        <d v="2007-04-22T00:00:00"/>
        <d v="1983-10-22T00:00:00"/>
        <d v="1994-04-26T00:00:00"/>
        <d v="2008-10-22T00:00:00"/>
        <d v="2018-02-04T00:00:00"/>
        <d v="2019-07-26T00:00:00"/>
        <d v="1980-11-01T00:00:00"/>
        <d v="2011-08-19T00:00:00"/>
        <d v="1981-09-10T00:00:00"/>
        <d v="1992-07-12T00:00:00"/>
        <d v="1990-04-07T00:00:00"/>
        <d v="2002-08-23T00:00:00"/>
        <d v="2016-12-26T00:00:00"/>
        <d v="1997-05-30T00:00:00"/>
        <d v="2008-07-02T00:00:00"/>
        <d v="2009-05-28T00:00:00"/>
        <d v="2004-04-05T00:00:00"/>
        <d v="1997-11-23T00:00:00"/>
        <d v="2001-01-08T00:00:00"/>
        <d v="1985-03-23T00:00:00"/>
        <d v="1989-02-01T00:00:00"/>
        <d v="2000-07-16T00:00:00"/>
        <d v="1990-11-14T00:00:00"/>
        <d v="1970-09-19T00:00:00"/>
        <d v="2017-10-13T00:00:00"/>
        <d v="2020-02-25T00:00:00"/>
        <d v="1999-06-17T00:00:00"/>
        <d v="1984-04-01T00:00:00"/>
        <d v="1981-04-26T00:00:00"/>
        <d v="2021-11-17T00:00:00"/>
        <d v="1996-03-10T00:00:00"/>
        <d v="1996-03-16T00:00:00"/>
        <d v="1999-02-23T00:00:00"/>
        <d v="1983-12-22T00:00:00"/>
        <d v="2005-09-01T00:00:00"/>
        <d v="1973-08-07T00:00:00"/>
        <d v="1986-04-06T00:00:00"/>
        <d v="1986-10-11T00:00:00"/>
        <d v="1975-11-14T00:00:00"/>
        <d v="1996-04-09T00:00:00"/>
        <d v="2012-08-29T00:00:00"/>
        <d v="2014-04-30T00:00:00"/>
        <d v="2012-01-02T00:00:00"/>
        <d v="1996-07-01T00:00:00"/>
        <d v="2017-02-06T00:00:00"/>
        <d v="1998-08-24T00:00:00"/>
        <d v="1972-03-31T00:00:00"/>
        <d v="1992-10-29T00:00:00"/>
        <d v="2017-12-02T00:00:00"/>
        <d v="2017-07-16T00:00:00"/>
        <d v="2010-08-31T00:00:00"/>
        <d v="2018-10-06T00:00:00"/>
        <d v="2006-01-01T00:00:00"/>
        <d v="1994-03-01T00:00:00"/>
        <d v="1988-09-25T00:00:00"/>
        <d v="2010-03-07T00:00:00"/>
        <d v="1989-09-29T00:00:00"/>
        <d v="1998-07-14T00:00:00"/>
        <d v="1995-06-14T00:00:00"/>
        <d v="1976-06-03T00:00:00"/>
        <d v="2020-06-29T00:00:00"/>
        <d v="2025-01-09T00:00:00"/>
        <d v="2003-05-08T00:00:00"/>
        <d v="2001-02-09T00:00:00"/>
        <d v="1990-06-13T00:00:00"/>
        <d v="2012-12-18T00:00:00"/>
        <d v="1978-07-01T00:00:00"/>
        <d v="2020-05-22T00:00:00"/>
        <d v="2000-05-27T00:00:00"/>
        <d v="1991-11-22T00:00:00"/>
        <d v="1980-03-21T00:00:00"/>
        <d v="2016-05-16T00:00:00"/>
        <d v="2015-10-21T00:00:00"/>
        <d v="2014-04-26T00:00:00"/>
        <d v="1977-08-15T00:00:00"/>
        <d v="1983-05-09T00:00:00"/>
        <d v="1988-03-28T00:00:00"/>
        <d v="1973-11-24T00:00:00"/>
        <d v="2018-04-16T00:00:00"/>
        <d v="2017-08-23T00:00:00"/>
        <d v="1987-01-24T00:00:00"/>
        <d v="2017-12-12T00:00:00"/>
        <d v="2003-07-29T00:00:00"/>
        <d v="1984-11-26T00:00:00"/>
        <d v="1976-12-18T00:00:00"/>
        <d v="1976-07-13T00:00:00"/>
        <d v="2004-05-16T00:00:00"/>
        <d v="1986-10-27T00:00:00"/>
        <d v="2003-01-09T00:00:00"/>
        <d v="2002-03-27T00:00:00"/>
        <d v="2020-05-02T00:00:00"/>
        <d v="2009-01-25T00:00:00"/>
        <d v="2018-04-21T00:00:00"/>
        <d v="1980-11-19T00:00:00"/>
        <d v="1993-05-15T00:00:00"/>
        <d v="1975-05-16T00:00:00"/>
        <d v="2011-10-16T00:00:00"/>
        <d v="1979-09-11T00:00:00"/>
        <d v="1983-03-08T00:00:00"/>
        <d v="2020-12-11T00:00:00"/>
        <d v="2003-04-19T00:00:00"/>
        <d v="1999-12-21T00:00:00"/>
        <d v="2012-02-29T00:00:00"/>
        <d v="2022-07-06T00:00:00"/>
        <d v="1994-02-28T00:00:00"/>
        <d v="1983-09-03T00:00:00"/>
        <d v="2015-11-24T00:00:00"/>
        <d v="2010-02-22T00:00:00"/>
        <d v="2006-04-20T00:00:00"/>
        <d v="1998-08-16T00:00:00"/>
        <d v="2022-01-09T00:00:00"/>
        <d v="1987-05-14T00:00:00"/>
        <d v="2021-05-30T00:00:00"/>
        <d v="1979-02-09T00:00:00"/>
        <d v="1978-07-13T00:00:00"/>
        <d v="2018-06-22T00:00:00"/>
        <d v="1999-07-11T00:00:00"/>
        <d v="1971-06-06T00:00:00"/>
        <d v="1985-11-29T00:00:00"/>
        <d v="1972-09-14T00:00:00"/>
        <d v="1993-06-27T00:00:00"/>
        <d v="1973-03-02T00:00:00"/>
        <d v="1982-06-09T00:00:00"/>
        <d v="2012-11-05T00:00:00"/>
        <d v="2018-12-17T00:00:00"/>
        <d v="2000-10-15T00:00:00"/>
        <d v="1972-05-24T00:00:00"/>
        <d v="1997-01-23T00:00:00"/>
        <d v="1987-09-01T00:00:00"/>
        <d v="1997-10-26T00:00:00"/>
        <d v="2003-06-07T00:00:00"/>
        <d v="2004-08-18T00:00:00"/>
        <d v="2007-06-14T00:00:00"/>
        <d v="2008-11-09T00:00:00"/>
        <d v="2006-08-16T00:00:00"/>
        <d v="2022-03-02T00:00:00"/>
        <d v="2021-03-12T00:00:00"/>
        <d v="2011-08-15T00:00:00"/>
        <d v="2023-10-28T00:00:00"/>
        <d v="1973-09-01T00:00:00"/>
        <d v="2021-02-09T00:00:00"/>
        <d v="1984-05-20T00:00:00"/>
        <d v="1995-11-20T00:00:00"/>
        <d v="1998-08-23T00:00:00"/>
        <d v="1988-03-24T00:00:00"/>
        <d v="1982-06-24T00:00:00"/>
        <d v="2000-09-11T00:00:00"/>
        <d v="1991-02-01T00:00:00"/>
        <d v="1987-06-08T00:00:00"/>
        <d v="2007-10-09T00:00:00"/>
        <d v="1985-09-08T00:00:00"/>
        <d v="1971-05-08T00:00:00"/>
        <d v="1976-10-21T00:00:00"/>
        <d v="2002-09-25T00:00:00"/>
        <d v="1978-06-08T00:00:00"/>
        <d v="2006-08-17T00:00:00"/>
        <d v="1974-04-23T00:00:00"/>
        <d v="2025-05-26T00:00:00"/>
        <d v="1986-11-28T00:00:00"/>
        <d v="1974-08-28T00:00:00"/>
        <d v="2011-07-17T00:00:00"/>
        <d v="2011-11-30T00:00:00"/>
        <d v="1973-03-27T00:00:00"/>
        <d v="1994-10-27T00:00:00"/>
        <d v="2011-12-04T00:00:00"/>
        <d v="1971-08-13T00:00:00"/>
        <d v="2018-11-15T00:00:00"/>
        <d v="1987-07-29T00:00:00"/>
        <d v="2001-04-14T00:00:00"/>
        <d v="2001-10-01T00:00:00"/>
        <d v="1974-05-27T00:00:00"/>
        <d v="1986-10-07T00:00:00"/>
        <d v="1975-11-22T00:00:00"/>
        <d v="1993-10-24T00:00:00"/>
        <d v="1973-01-17T00:00:00"/>
        <d v="2014-05-30T00:00:00"/>
        <d v="2013-12-04T00:00:00"/>
        <d v="2022-05-02T00:00:00"/>
        <d v="2025-04-22T00:00:00"/>
        <d v="1970-01-13T00:00:00"/>
        <d v="1988-06-21T00:00:00"/>
      </sharedItems>
      <fieldGroup par="9"/>
    </cacheField>
    <cacheField name="Experience" numFmtId="0">
      <sharedItems containsSemiMixedTypes="0" containsString="0" containsNumber="1" containsInteger="1" minValue="7" maxValue="36" count="30">
        <n v="30"/>
        <n v="13"/>
        <n v="11"/>
        <n v="20"/>
        <n v="31"/>
        <n v="14"/>
        <n v="33"/>
        <n v="15"/>
        <n v="26"/>
        <n v="17"/>
        <n v="18"/>
        <n v="29"/>
        <n v="19"/>
        <n v="27"/>
        <n v="24"/>
        <n v="16"/>
        <n v="25"/>
        <n v="22"/>
        <n v="21"/>
        <n v="12"/>
        <n v="23"/>
        <n v="32"/>
        <n v="28"/>
        <n v="34"/>
        <n v="35"/>
        <n v="9"/>
        <n v="8"/>
        <n v="10"/>
        <n v="36"/>
        <n v="7"/>
      </sharedItems>
    </cacheField>
    <cacheField name="Salary" numFmtId="164">
      <sharedItems containsSemiMixedTypes="0" containsString="0" containsNumber="1" containsInteger="1" minValue="43177" maxValue="293410"/>
    </cacheField>
    <cacheField name="Age group" numFmtId="0">
      <sharedItems count="5">
        <s v="60+"/>
        <s v="20-29"/>
        <s v="30-39"/>
        <s v="50-59"/>
        <s v="40-49"/>
      </sharedItems>
    </cacheField>
    <cacheField name="Years (Join_Date)" numFmtId="0" databaseField="0">
      <fieldGroup base="5">
        <rangePr groupBy="years" startDate="1970-01-13T00:00:00" endDate="2025-10-02T00:00:00"/>
        <groupItems count="58">
          <s v="&lt;1/13/1970"/>
          <s v="1970"/>
          <s v="1971"/>
          <s v="1972"/>
          <s v="1973"/>
          <s v="1974"/>
          <s v="1975"/>
          <s v="1976"/>
          <s v="1977"/>
          <s v="1978"/>
          <s v="1979"/>
          <s v="1980"/>
          <s v="1981"/>
          <s v="1982"/>
          <s v="1983"/>
          <s v="1984"/>
          <s v="1985"/>
          <s v="1986"/>
          <s v="1987"/>
          <s v="1988"/>
          <s v="1989"/>
          <s v="1990"/>
          <s v="1991"/>
          <s v="1992"/>
          <s v="1993"/>
          <s v="1994"/>
          <s v="1995"/>
          <s v="1996"/>
          <s v="1997"/>
          <s v="1998"/>
          <s v="1999"/>
          <s v="2000"/>
          <s v="2001"/>
          <s v="2002"/>
          <s v="2003"/>
          <s v="2004"/>
          <s v="2005"/>
          <s v="2006"/>
          <s v="2007"/>
          <s v="2008"/>
          <s v="2009"/>
          <s v="2010"/>
          <s v="2011"/>
          <s v="2012"/>
          <s v="2013"/>
          <s v="2014"/>
          <s v="2015"/>
          <s v="2016"/>
          <s v="2017"/>
          <s v="2018"/>
          <s v="2019"/>
          <s v="2020"/>
          <s v="2021"/>
          <s v="2022"/>
          <s v="2023"/>
          <s v="2024"/>
          <s v="2025"/>
          <s v="&gt;10/2/2025"/>
        </groupItems>
      </fieldGroup>
    </cacheField>
  </cacheFields>
  <extLst>
    <ext xmlns:x14="http://schemas.microsoft.com/office/spreadsheetml/2009/9/main" uri="{725AE2AE-9491-48be-B2B4-4EB974FC3084}">
      <x14:pivotCacheDefinition pivotCacheId="163744759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refreshedDate="46279.539127430558" createdVersion="8" refreshedVersion="8" minRefreshableVersion="3" recordCount="501" xr:uid="{BAD2B854-6693-405F-885D-5B42B12F6AA8}">
  <cacheSource type="worksheet">
    <worksheetSource ref="A1:I502" sheet="CLEANED DATA"/>
  </cacheSource>
  <cacheFields count="9">
    <cacheField name="Index" numFmtId="0">
      <sharedItems containsString="0" containsBlank="1" containsNumber="1" containsInteger="1" minValue="0" maxValue="499"/>
    </cacheField>
    <cacheField name="Employee_ID" numFmtId="0">
      <sharedItems containsString="0" containsBlank="1" containsNumber="1" containsInteger="1" minValue="1002" maxValue="9981"/>
    </cacheField>
    <cacheField name="Age" numFmtId="0">
      <sharedItems containsString="0" containsBlank="1" containsNumber="1" containsInteger="1" minValue="22" maxValue="64"/>
    </cacheField>
    <cacheField name="Is_Manager" numFmtId="0">
      <sharedItems containsBlank="1" count="3">
        <s v="Not manager"/>
        <s v="Manager"/>
        <m/>
      </sharedItems>
    </cacheField>
    <cacheField name="Department" numFmtId="0">
      <sharedItems containsBlank="1"/>
    </cacheField>
    <cacheField name="Join_Date" numFmtId="165">
      <sharedItems containsNonDate="0" containsDate="1" containsString="0" containsBlank="1" minDate="1970-01-13T00:00:00" maxDate="2025-10-02T00:00:00"/>
    </cacheField>
    <cacheField name="Experience" numFmtId="0">
      <sharedItems containsString="0" containsBlank="1" containsNumber="1" containsInteger="1" minValue="7" maxValue="36"/>
    </cacheField>
    <cacheField name="Salary" numFmtId="164">
      <sharedItems containsSemiMixedTypes="0" containsString="0" containsNumber="1" containsInteger="1" minValue="43177" maxValue="85317186"/>
    </cacheField>
    <cacheField name="Age group" numFmtId="0">
      <sharedItems containsBlank="1" count="6">
        <s v="60+"/>
        <s v="20-29"/>
        <s v="30-39"/>
        <s v="50-59"/>
        <s v="40-49"/>
        <m/>
      </sharedItems>
    </cacheField>
  </cacheFields>
  <extLst>
    <ext xmlns:x14="http://schemas.microsoft.com/office/spreadsheetml/2009/9/main" uri="{725AE2AE-9491-48be-B2B4-4EB974FC3084}">
      <x14:pivotCacheDefinition pivotCacheId="10891045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0"/>
    <n v="8794"/>
    <n v="60"/>
    <s v="Not manager"/>
    <x v="0"/>
    <x v="0"/>
    <x v="0"/>
    <n v="238668"/>
    <x v="0"/>
  </r>
  <r>
    <n v="1"/>
    <n v="8222"/>
    <n v="28"/>
    <s v="Manager"/>
    <x v="1"/>
    <x v="1"/>
    <x v="1"/>
    <n v="105995"/>
    <x v="1"/>
  </r>
  <r>
    <n v="2"/>
    <n v="7643"/>
    <n v="30"/>
    <s v="Not manager"/>
    <x v="2"/>
    <x v="2"/>
    <x v="2"/>
    <n v="96120"/>
    <x v="2"/>
  </r>
  <r>
    <n v="3"/>
    <n v="2737"/>
    <n v="38"/>
    <s v="Manager"/>
    <x v="3"/>
    <x v="3"/>
    <x v="3"/>
    <n v="153525"/>
    <x v="2"/>
  </r>
  <r>
    <n v="4"/>
    <n v="8557"/>
    <n v="61"/>
    <s v="Manager"/>
    <x v="3"/>
    <x v="4"/>
    <x v="4"/>
    <n v="249192"/>
    <x v="0"/>
  </r>
  <r>
    <n v="5"/>
    <n v="8484"/>
    <n v="31"/>
    <s v="Not manager"/>
    <x v="2"/>
    <x v="5"/>
    <x v="5"/>
    <n v="112443"/>
    <x v="2"/>
  </r>
  <r>
    <n v="6"/>
    <n v="5854"/>
    <n v="64"/>
    <s v="Not manager"/>
    <x v="0"/>
    <x v="6"/>
    <x v="6"/>
    <n v="269150"/>
    <x v="0"/>
  </r>
  <r>
    <n v="7"/>
    <n v="6012"/>
    <n v="33"/>
    <s v="Not manager"/>
    <x v="0"/>
    <x v="7"/>
    <x v="1"/>
    <n v="99541"/>
    <x v="2"/>
  </r>
  <r>
    <n v="8"/>
    <n v="7462"/>
    <n v="34"/>
    <s v="Not manager"/>
    <x v="0"/>
    <x v="8"/>
    <x v="7"/>
    <n v="119128"/>
    <x v="2"/>
  </r>
  <r>
    <n v="9"/>
    <n v="7276"/>
    <n v="23"/>
    <s v="Not manager"/>
    <x v="0"/>
    <x v="9"/>
    <x v="2"/>
    <n v="83249"/>
    <x v="1"/>
  </r>
  <r>
    <n v="10"/>
    <n v="6621"/>
    <n v="51"/>
    <s v="Manager"/>
    <x v="4"/>
    <x v="10"/>
    <x v="8"/>
    <n v="201259"/>
    <x v="3"/>
  </r>
  <r>
    <n v="11"/>
    <n v="7461"/>
    <n v="43"/>
    <s v="Manager"/>
    <x v="4"/>
    <x v="11"/>
    <x v="9"/>
    <n v="144477"/>
    <x v="4"/>
  </r>
  <r>
    <n v="12"/>
    <n v="4181"/>
    <n v="33"/>
    <s v="Manager"/>
    <x v="0"/>
    <x v="12"/>
    <x v="10"/>
    <n v="148126"/>
    <x v="2"/>
  </r>
  <r>
    <n v="13"/>
    <n v="9770"/>
    <n v="64"/>
    <s v="Not manager"/>
    <x v="2"/>
    <x v="13"/>
    <x v="11"/>
    <n v="237357"/>
    <x v="0"/>
  </r>
  <r>
    <n v="14"/>
    <n v="9138"/>
    <n v="41"/>
    <s v="Manager"/>
    <x v="0"/>
    <x v="14"/>
    <x v="12"/>
    <n v="158446"/>
    <x v="4"/>
  </r>
  <r>
    <n v="15"/>
    <n v="7182"/>
    <n v="30"/>
    <s v="Manager"/>
    <x v="2"/>
    <x v="15"/>
    <x v="7"/>
    <n v="124601"/>
    <x v="2"/>
  </r>
  <r>
    <n v="16"/>
    <n v="9901"/>
    <n v="60"/>
    <s v="Manager"/>
    <x v="4"/>
    <x v="16"/>
    <x v="13"/>
    <n v="209673"/>
    <x v="0"/>
  </r>
  <r>
    <n v="17"/>
    <n v="9684"/>
    <n v="25"/>
    <s v="Not manager"/>
    <x v="0"/>
    <x v="17"/>
    <x v="2"/>
    <n v="88325"/>
    <x v="1"/>
  </r>
  <r>
    <n v="18"/>
    <n v="6645"/>
    <n v="30"/>
    <s v="Not manager"/>
    <x v="2"/>
    <x v="18"/>
    <x v="5"/>
    <n v="117761"/>
    <x v="2"/>
  </r>
  <r>
    <n v="19"/>
    <n v="4049"/>
    <n v="45"/>
    <s v="Manager"/>
    <x v="4"/>
    <x v="19"/>
    <x v="14"/>
    <n v="193695"/>
    <x v="4"/>
  </r>
  <r>
    <n v="20"/>
    <n v="7857"/>
    <n v="56"/>
    <s v="Manager"/>
    <x v="0"/>
    <x v="20"/>
    <x v="13"/>
    <n v="223718"/>
    <x v="3"/>
  </r>
  <r>
    <n v="21"/>
    <n v="3757"/>
    <n v="32"/>
    <s v="Manager"/>
    <x v="0"/>
    <x v="21"/>
    <x v="15"/>
    <n v="136877"/>
    <x v="2"/>
  </r>
  <r>
    <n v="22"/>
    <n v="9062"/>
    <n v="49"/>
    <s v="Manager"/>
    <x v="1"/>
    <x v="22"/>
    <x v="14"/>
    <n v="201355"/>
    <x v="4"/>
  </r>
  <r>
    <n v="23"/>
    <n v="4459"/>
    <n v="52"/>
    <s v="Not manager"/>
    <x v="3"/>
    <x v="23"/>
    <x v="16"/>
    <n v="197155"/>
    <x v="3"/>
  </r>
  <r>
    <n v="24"/>
    <n v="2444"/>
    <n v="43"/>
    <s v="Manager"/>
    <x v="4"/>
    <x v="24"/>
    <x v="17"/>
    <n v="181254"/>
    <x v="4"/>
  </r>
  <r>
    <n v="25"/>
    <n v="3005"/>
    <n v="56"/>
    <s v="Manager"/>
    <x v="1"/>
    <x v="25"/>
    <x v="14"/>
    <n v="197009"/>
    <x v="3"/>
  </r>
  <r>
    <n v="26"/>
    <n v="6797"/>
    <n v="47"/>
    <s v="Manager"/>
    <x v="4"/>
    <x v="26"/>
    <x v="8"/>
    <n v="201648"/>
    <x v="4"/>
  </r>
  <r>
    <n v="27"/>
    <n v="5040"/>
    <n v="37"/>
    <s v="Manager"/>
    <x v="3"/>
    <x v="27"/>
    <x v="17"/>
    <n v="186028"/>
    <x v="2"/>
  </r>
  <r>
    <n v="28"/>
    <n v="9477"/>
    <n v="54"/>
    <s v="Manager"/>
    <x v="4"/>
    <x v="28"/>
    <x v="8"/>
    <n v="201094"/>
    <x v="3"/>
  </r>
  <r>
    <n v="29"/>
    <n v="3555"/>
    <n v="48"/>
    <s v="Manager"/>
    <x v="1"/>
    <x v="29"/>
    <x v="16"/>
    <n v="192419"/>
    <x v="4"/>
  </r>
  <r>
    <n v="30"/>
    <n v="3490"/>
    <n v="28"/>
    <s v="Manager"/>
    <x v="4"/>
    <x v="30"/>
    <x v="1"/>
    <n v="103102"/>
    <x v="1"/>
  </r>
  <r>
    <n v="31"/>
    <n v="3637"/>
    <n v="62"/>
    <s v="Manager"/>
    <x v="2"/>
    <x v="31"/>
    <x v="4"/>
    <n v="248038"/>
    <x v="0"/>
  </r>
  <r>
    <n v="32"/>
    <n v="9629"/>
    <n v="44"/>
    <s v="Manager"/>
    <x v="2"/>
    <x v="32"/>
    <x v="17"/>
    <n v="178656"/>
    <x v="4"/>
  </r>
  <r>
    <n v="33"/>
    <n v="6809"/>
    <n v="40"/>
    <s v="Manager"/>
    <x v="4"/>
    <x v="33"/>
    <x v="12"/>
    <n v="149831"/>
    <x v="4"/>
  </r>
  <r>
    <n v="34"/>
    <n v="8660"/>
    <n v="34"/>
    <s v="Manager"/>
    <x v="3"/>
    <x v="34"/>
    <x v="9"/>
    <n v="137180"/>
    <x v="2"/>
  </r>
  <r>
    <n v="35"/>
    <n v="3840"/>
    <n v="45"/>
    <s v="Manager"/>
    <x v="1"/>
    <x v="35"/>
    <x v="17"/>
    <n v="173071"/>
    <x v="4"/>
  </r>
  <r>
    <n v="36"/>
    <n v="8354"/>
    <n v="45"/>
    <s v="Not manager"/>
    <x v="0"/>
    <x v="36"/>
    <x v="17"/>
    <n v="177939"/>
    <x v="4"/>
  </r>
  <r>
    <n v="37"/>
    <n v="9487"/>
    <n v="37"/>
    <s v="Not manager"/>
    <x v="1"/>
    <x v="37"/>
    <x v="5"/>
    <n v="115812"/>
    <x v="2"/>
  </r>
  <r>
    <n v="38"/>
    <n v="1501"/>
    <n v="47"/>
    <s v="Manager"/>
    <x v="2"/>
    <x v="38"/>
    <x v="18"/>
    <n v="159633"/>
    <x v="4"/>
  </r>
  <r>
    <n v="39"/>
    <n v="3766"/>
    <n v="30"/>
    <s v="Manager"/>
    <x v="2"/>
    <x v="39"/>
    <x v="15"/>
    <n v="132927"/>
    <x v="2"/>
  </r>
  <r>
    <n v="40"/>
    <n v="6867"/>
    <n v="47"/>
    <s v="Not manager"/>
    <x v="1"/>
    <x v="40"/>
    <x v="8"/>
    <n v="208357"/>
    <x v="4"/>
  </r>
  <r>
    <n v="41"/>
    <n v="3272"/>
    <n v="22"/>
    <s v="Manager"/>
    <x v="1"/>
    <x v="41"/>
    <x v="19"/>
    <n v="98088"/>
    <x v="1"/>
  </r>
  <r>
    <n v="42"/>
    <n v="9299"/>
    <n v="45"/>
    <s v="Not manager"/>
    <x v="1"/>
    <x v="42"/>
    <x v="3"/>
    <n v="162526"/>
    <x v="4"/>
  </r>
  <r>
    <n v="43"/>
    <n v="3681"/>
    <n v="48"/>
    <s v="Manager"/>
    <x v="0"/>
    <x v="43"/>
    <x v="20"/>
    <n v="182251"/>
    <x v="4"/>
  </r>
  <r>
    <n v="44"/>
    <n v="1311"/>
    <n v="51"/>
    <s v="Manager"/>
    <x v="1"/>
    <x v="44"/>
    <x v="13"/>
    <n v="222715"/>
    <x v="3"/>
  </r>
  <r>
    <n v="45"/>
    <n v="7563"/>
    <n v="31"/>
    <s v="Not manager"/>
    <x v="0"/>
    <x v="45"/>
    <x v="9"/>
    <n v="133435"/>
    <x v="2"/>
  </r>
  <r>
    <n v="46"/>
    <n v="1977"/>
    <n v="38"/>
    <s v="Not manager"/>
    <x v="0"/>
    <x v="46"/>
    <x v="10"/>
    <n v="130398"/>
    <x v="2"/>
  </r>
  <r>
    <n v="47"/>
    <n v="2765"/>
    <n v="40"/>
    <s v="Manager"/>
    <x v="1"/>
    <x v="47"/>
    <x v="18"/>
    <n v="164496"/>
    <x v="4"/>
  </r>
  <r>
    <n v="48"/>
    <n v="1385"/>
    <n v="42"/>
    <s v="Not manager"/>
    <x v="0"/>
    <x v="48"/>
    <x v="12"/>
    <n v="158595"/>
    <x v="4"/>
  </r>
  <r>
    <n v="49"/>
    <n v="4113"/>
    <n v="64"/>
    <s v="Not manager"/>
    <x v="2"/>
    <x v="49"/>
    <x v="0"/>
    <n v="236259"/>
    <x v="0"/>
  </r>
  <r>
    <n v="50"/>
    <n v="8791"/>
    <n v="50"/>
    <s v="Manager"/>
    <x v="1"/>
    <x v="50"/>
    <x v="17"/>
    <n v="174905"/>
    <x v="3"/>
  </r>
  <r>
    <n v="51"/>
    <n v="7925"/>
    <n v="44"/>
    <s v="Not manager"/>
    <x v="3"/>
    <x v="51"/>
    <x v="18"/>
    <n v="161581"/>
    <x v="4"/>
  </r>
  <r>
    <n v="52"/>
    <n v="9867"/>
    <n v="50"/>
    <s v="Manager"/>
    <x v="4"/>
    <x v="52"/>
    <x v="13"/>
    <n v="210865"/>
    <x v="3"/>
  </r>
  <r>
    <n v="53"/>
    <n v="3086"/>
    <n v="46"/>
    <s v="Manager"/>
    <x v="4"/>
    <x v="53"/>
    <x v="20"/>
    <n v="187209"/>
    <x v="4"/>
  </r>
  <r>
    <n v="54"/>
    <n v="2797"/>
    <n v="51"/>
    <s v="Manager"/>
    <x v="4"/>
    <x v="54"/>
    <x v="13"/>
    <n v="216483"/>
    <x v="3"/>
  </r>
  <r>
    <n v="55"/>
    <n v="2514"/>
    <n v="63"/>
    <s v="Not manager"/>
    <x v="4"/>
    <x v="55"/>
    <x v="4"/>
    <n v="241732"/>
    <x v="0"/>
  </r>
  <r>
    <n v="56"/>
    <n v="5404"/>
    <n v="22"/>
    <s v="Manager"/>
    <x v="4"/>
    <x v="56"/>
    <x v="1"/>
    <n v="100085"/>
    <x v="1"/>
  </r>
  <r>
    <n v="57"/>
    <n v="7609"/>
    <n v="48"/>
    <s v="Not manager"/>
    <x v="3"/>
    <x v="57"/>
    <x v="14"/>
    <n v="196599"/>
    <x v="4"/>
  </r>
  <r>
    <n v="58"/>
    <n v="4788"/>
    <n v="53"/>
    <s v="Not manager"/>
    <x v="1"/>
    <x v="58"/>
    <x v="16"/>
    <n v="203758"/>
    <x v="3"/>
  </r>
  <r>
    <n v="59"/>
    <n v="1607"/>
    <n v="59"/>
    <s v="Manager"/>
    <x v="4"/>
    <x v="59"/>
    <x v="21"/>
    <n v="254771"/>
    <x v="3"/>
  </r>
  <r>
    <n v="60"/>
    <n v="4605"/>
    <n v="53"/>
    <s v="Manager"/>
    <x v="0"/>
    <x v="60"/>
    <x v="22"/>
    <n v="221350"/>
    <x v="3"/>
  </r>
  <r>
    <n v="61"/>
    <n v="9897"/>
    <n v="60"/>
    <s v="Not manager"/>
    <x v="0"/>
    <x v="61"/>
    <x v="22"/>
    <n v="227840"/>
    <x v="0"/>
  </r>
  <r>
    <n v="62"/>
    <n v="6593"/>
    <n v="30"/>
    <s v="Not manager"/>
    <x v="0"/>
    <x v="62"/>
    <x v="7"/>
    <n v="118126"/>
    <x v="2"/>
  </r>
  <r>
    <n v="63"/>
    <n v="2340"/>
    <n v="32"/>
    <s v="Not manager"/>
    <x v="1"/>
    <x v="63"/>
    <x v="7"/>
    <n v="124811"/>
    <x v="2"/>
  </r>
  <r>
    <n v="64"/>
    <n v="5328"/>
    <n v="34"/>
    <s v="Not manager"/>
    <x v="4"/>
    <x v="64"/>
    <x v="9"/>
    <n v="138134"/>
    <x v="2"/>
  </r>
  <r>
    <n v="65"/>
    <n v="5037"/>
    <n v="36"/>
    <s v="Not manager"/>
    <x v="0"/>
    <x v="65"/>
    <x v="15"/>
    <n v="127124"/>
    <x v="2"/>
  </r>
  <r>
    <n v="66"/>
    <n v="4527"/>
    <n v="44"/>
    <s v="Not manager"/>
    <x v="1"/>
    <x v="66"/>
    <x v="12"/>
    <n v="151056"/>
    <x v="4"/>
  </r>
  <r>
    <n v="67"/>
    <n v="6286"/>
    <n v="40"/>
    <s v="Not manager"/>
    <x v="0"/>
    <x v="67"/>
    <x v="10"/>
    <n v="135177"/>
    <x v="4"/>
  </r>
  <r>
    <n v="68"/>
    <n v="3154"/>
    <n v="31"/>
    <s v="Manager"/>
    <x v="2"/>
    <x v="68"/>
    <x v="19"/>
    <n v="99214"/>
    <x v="2"/>
  </r>
  <r>
    <n v="69"/>
    <n v="9819"/>
    <n v="35"/>
    <s v="Not manager"/>
    <x v="1"/>
    <x v="69"/>
    <x v="9"/>
    <n v="133866"/>
    <x v="2"/>
  </r>
  <r>
    <n v="70"/>
    <n v="3438"/>
    <n v="32"/>
    <s v="Manager"/>
    <x v="4"/>
    <x v="70"/>
    <x v="15"/>
    <n v="127570"/>
    <x v="2"/>
  </r>
  <r>
    <n v="71"/>
    <n v="8337"/>
    <n v="35"/>
    <s v="Manager"/>
    <x v="3"/>
    <x v="71"/>
    <x v="12"/>
    <n v="140250"/>
    <x v="2"/>
  </r>
  <r>
    <n v="72"/>
    <n v="7233"/>
    <n v="51"/>
    <s v="Not manager"/>
    <x v="1"/>
    <x v="72"/>
    <x v="13"/>
    <n v="212800"/>
    <x v="3"/>
  </r>
  <r>
    <n v="73"/>
    <n v="7073"/>
    <n v="50"/>
    <s v="Not manager"/>
    <x v="3"/>
    <x v="73"/>
    <x v="20"/>
    <n v="191346"/>
    <x v="3"/>
  </r>
  <r>
    <n v="74"/>
    <n v="6850"/>
    <n v="36"/>
    <s v="Manager"/>
    <x v="2"/>
    <x v="74"/>
    <x v="3"/>
    <n v="160278"/>
    <x v="2"/>
  </r>
  <r>
    <n v="75"/>
    <n v="7191"/>
    <n v="52"/>
    <s v="Manager"/>
    <x v="1"/>
    <x v="75"/>
    <x v="13"/>
    <n v="217985"/>
    <x v="3"/>
  </r>
  <r>
    <n v="76"/>
    <n v="5208"/>
    <n v="36"/>
    <s v="Manager"/>
    <x v="4"/>
    <x v="76"/>
    <x v="3"/>
    <n v="172798"/>
    <x v="2"/>
  </r>
  <r>
    <n v="77"/>
    <n v="5116"/>
    <n v="26"/>
    <s v="Not manager"/>
    <x v="4"/>
    <x v="77"/>
    <x v="7"/>
    <n v="120869"/>
    <x v="1"/>
  </r>
  <r>
    <n v="78"/>
    <n v="6328"/>
    <n v="45"/>
    <s v="Manager"/>
    <x v="1"/>
    <x v="78"/>
    <x v="20"/>
    <n v="186135"/>
    <x v="4"/>
  </r>
  <r>
    <n v="79"/>
    <n v="3538"/>
    <n v="27"/>
    <s v="Not manager"/>
    <x v="3"/>
    <x v="79"/>
    <x v="19"/>
    <n v="107313"/>
    <x v="1"/>
  </r>
  <r>
    <n v="80"/>
    <n v="5826"/>
    <n v="48"/>
    <s v="Not manager"/>
    <x v="3"/>
    <x v="80"/>
    <x v="20"/>
    <n v="189726"/>
    <x v="4"/>
  </r>
  <r>
    <n v="81"/>
    <n v="6108"/>
    <n v="45"/>
    <s v="Manager"/>
    <x v="3"/>
    <x v="81"/>
    <x v="18"/>
    <n v="171530"/>
    <x v="4"/>
  </r>
  <r>
    <n v="82"/>
    <n v="2867"/>
    <n v="64"/>
    <s v="Not manager"/>
    <x v="2"/>
    <x v="82"/>
    <x v="23"/>
    <n v="271935"/>
    <x v="0"/>
  </r>
  <r>
    <n v="83"/>
    <n v="4495"/>
    <n v="53"/>
    <s v="Manager"/>
    <x v="2"/>
    <x v="83"/>
    <x v="11"/>
    <n v="234900"/>
    <x v="3"/>
  </r>
  <r>
    <n v="84"/>
    <n v="9750"/>
    <n v="49"/>
    <s v="Not manager"/>
    <x v="0"/>
    <x v="84"/>
    <x v="20"/>
    <n v="181290"/>
    <x v="4"/>
  </r>
  <r>
    <n v="85"/>
    <n v="9243"/>
    <n v="60"/>
    <s v="Not manager"/>
    <x v="1"/>
    <x v="85"/>
    <x v="4"/>
    <n v="246555"/>
    <x v="0"/>
  </r>
  <r>
    <n v="86"/>
    <n v="8462"/>
    <n v="51"/>
    <s v="Manager"/>
    <x v="0"/>
    <x v="86"/>
    <x v="14"/>
    <n v="191660"/>
    <x v="3"/>
  </r>
  <r>
    <n v="87"/>
    <n v="8247"/>
    <n v="22"/>
    <s v="Manager"/>
    <x v="1"/>
    <x v="87"/>
    <x v="5"/>
    <n v="111511"/>
    <x v="1"/>
  </r>
  <r>
    <n v="88"/>
    <n v="3054"/>
    <n v="43"/>
    <s v="Manager"/>
    <x v="4"/>
    <x v="88"/>
    <x v="12"/>
    <n v="148439"/>
    <x v="4"/>
  </r>
  <r>
    <n v="89"/>
    <n v="3988"/>
    <n v="31"/>
    <s v="Manager"/>
    <x v="3"/>
    <x v="89"/>
    <x v="7"/>
    <n v="120884"/>
    <x v="2"/>
  </r>
  <r>
    <n v="90"/>
    <n v="3300"/>
    <n v="26"/>
    <s v="Manager"/>
    <x v="1"/>
    <x v="90"/>
    <x v="19"/>
    <n v="94805"/>
    <x v="1"/>
  </r>
  <r>
    <n v="91"/>
    <n v="9343"/>
    <n v="27"/>
    <s v="Not manager"/>
    <x v="1"/>
    <x v="91"/>
    <x v="1"/>
    <n v="97135"/>
    <x v="1"/>
  </r>
  <r>
    <n v="92"/>
    <n v="4183"/>
    <n v="52"/>
    <s v="Not manager"/>
    <x v="4"/>
    <x v="92"/>
    <x v="11"/>
    <n v="220820"/>
    <x v="3"/>
  </r>
  <r>
    <n v="93"/>
    <n v="4933"/>
    <n v="31"/>
    <s v="Manager"/>
    <x v="2"/>
    <x v="93"/>
    <x v="5"/>
    <n v="118043"/>
    <x v="2"/>
  </r>
  <r>
    <n v="94"/>
    <n v="7374"/>
    <n v="52"/>
    <s v="Not manager"/>
    <x v="3"/>
    <x v="94"/>
    <x v="13"/>
    <n v="223315"/>
    <x v="3"/>
  </r>
  <r>
    <n v="95"/>
    <n v="1082"/>
    <n v="61"/>
    <s v="Manager"/>
    <x v="0"/>
    <x v="95"/>
    <x v="0"/>
    <n v="246738"/>
    <x v="0"/>
  </r>
  <r>
    <n v="96"/>
    <n v="4204"/>
    <n v="52"/>
    <s v="Not manager"/>
    <x v="0"/>
    <x v="96"/>
    <x v="14"/>
    <n v="191082"/>
    <x v="3"/>
  </r>
  <r>
    <n v="97"/>
    <n v="9015"/>
    <n v="59"/>
    <s v="Not manager"/>
    <x v="0"/>
    <x v="97"/>
    <x v="22"/>
    <n v="225302"/>
    <x v="3"/>
  </r>
  <r>
    <n v="98"/>
    <n v="1706"/>
    <n v="40"/>
    <s v="Not manager"/>
    <x v="4"/>
    <x v="98"/>
    <x v="10"/>
    <n v="142093"/>
    <x v="4"/>
  </r>
  <r>
    <n v="99"/>
    <n v="3873"/>
    <n v="46"/>
    <s v="Manager"/>
    <x v="4"/>
    <x v="99"/>
    <x v="12"/>
    <n v="156162"/>
    <x v="4"/>
  </r>
  <r>
    <n v="100"/>
    <n v="3229"/>
    <n v="35"/>
    <s v="Manager"/>
    <x v="1"/>
    <x v="100"/>
    <x v="9"/>
    <n v="134816"/>
    <x v="2"/>
  </r>
  <r>
    <n v="101"/>
    <n v="6665"/>
    <n v="40"/>
    <s v="Not manager"/>
    <x v="3"/>
    <x v="101"/>
    <x v="7"/>
    <n v="122745"/>
    <x v="4"/>
  </r>
  <r>
    <n v="102"/>
    <n v="4680"/>
    <n v="40"/>
    <s v="Manager"/>
    <x v="3"/>
    <x v="102"/>
    <x v="14"/>
    <n v="186453"/>
    <x v="4"/>
  </r>
  <r>
    <n v="103"/>
    <n v="1002"/>
    <n v="48"/>
    <s v="Not manager"/>
    <x v="4"/>
    <x v="103"/>
    <x v="16"/>
    <n v="199561"/>
    <x v="4"/>
  </r>
  <r>
    <n v="104"/>
    <n v="1137"/>
    <n v="54"/>
    <s v="Manager"/>
    <x v="2"/>
    <x v="104"/>
    <x v="16"/>
    <n v="204293"/>
    <x v="3"/>
  </r>
  <r>
    <n v="105"/>
    <n v="7922"/>
    <n v="58"/>
    <s v="Manager"/>
    <x v="3"/>
    <x v="105"/>
    <x v="0"/>
    <n v="242531"/>
    <x v="3"/>
  </r>
  <r>
    <n v="106"/>
    <n v="3307"/>
    <n v="25"/>
    <s v="Manager"/>
    <x v="4"/>
    <x v="106"/>
    <x v="19"/>
    <n v="103111"/>
    <x v="1"/>
  </r>
  <r>
    <n v="107"/>
    <n v="8235"/>
    <n v="53"/>
    <s v="Manager"/>
    <x v="3"/>
    <x v="107"/>
    <x v="0"/>
    <n v="237496"/>
    <x v="3"/>
  </r>
  <r>
    <n v="108"/>
    <n v="9113"/>
    <n v="50"/>
    <s v="Not manager"/>
    <x v="1"/>
    <x v="108"/>
    <x v="14"/>
    <n v="193765"/>
    <x v="3"/>
  </r>
  <r>
    <n v="109"/>
    <n v="6545"/>
    <n v="63"/>
    <s v="Not manager"/>
    <x v="3"/>
    <x v="109"/>
    <x v="0"/>
    <n v="240281"/>
    <x v="0"/>
  </r>
  <r>
    <n v="110"/>
    <n v="4987"/>
    <n v="54"/>
    <s v="Not manager"/>
    <x v="0"/>
    <x v="110"/>
    <x v="17"/>
    <n v="176659"/>
    <x v="3"/>
  </r>
  <r>
    <n v="111"/>
    <n v="9111"/>
    <n v="58"/>
    <s v="Manager"/>
    <x v="4"/>
    <x v="111"/>
    <x v="0"/>
    <n v="244973"/>
    <x v="3"/>
  </r>
  <r>
    <n v="112"/>
    <n v="1061"/>
    <n v="37"/>
    <s v="Not manager"/>
    <x v="1"/>
    <x v="112"/>
    <x v="3"/>
    <n v="160566"/>
    <x v="2"/>
  </r>
  <r>
    <n v="113"/>
    <n v="6101"/>
    <n v="43"/>
    <s v="Manager"/>
    <x v="4"/>
    <x v="113"/>
    <x v="20"/>
    <n v="177312"/>
    <x v="4"/>
  </r>
  <r>
    <n v="114"/>
    <n v="5338"/>
    <n v="24"/>
    <s v="Not manager"/>
    <x v="2"/>
    <x v="114"/>
    <x v="19"/>
    <n v="92967"/>
    <x v="1"/>
  </r>
  <r>
    <n v="115"/>
    <n v="3697"/>
    <n v="46"/>
    <s v="Not manager"/>
    <x v="2"/>
    <x v="115"/>
    <x v="16"/>
    <n v="208044"/>
    <x v="4"/>
  </r>
  <r>
    <n v="116"/>
    <n v="6704"/>
    <n v="60"/>
    <s v="Not manager"/>
    <x v="0"/>
    <x v="116"/>
    <x v="11"/>
    <n v="225723"/>
    <x v="0"/>
  </r>
  <r>
    <n v="117"/>
    <n v="1819"/>
    <n v="61"/>
    <s v="Not manager"/>
    <x v="4"/>
    <x v="117"/>
    <x v="8"/>
    <n v="208426"/>
    <x v="0"/>
  </r>
  <r>
    <n v="118"/>
    <n v="4425"/>
    <n v="61"/>
    <s v="Not manager"/>
    <x v="4"/>
    <x v="118"/>
    <x v="24"/>
    <n v="279946"/>
    <x v="0"/>
  </r>
  <r>
    <n v="119"/>
    <n v="2499"/>
    <n v="29"/>
    <s v="Manager"/>
    <x v="0"/>
    <x v="119"/>
    <x v="15"/>
    <n v="129970"/>
    <x v="1"/>
  </r>
  <r>
    <n v="120"/>
    <n v="4801"/>
    <n v="54"/>
    <s v="Not manager"/>
    <x v="3"/>
    <x v="120"/>
    <x v="22"/>
    <n v="225408"/>
    <x v="3"/>
  </r>
  <r>
    <n v="121"/>
    <n v="8001"/>
    <n v="32"/>
    <s v="Not manager"/>
    <x v="4"/>
    <x v="121"/>
    <x v="15"/>
    <n v="125760"/>
    <x v="2"/>
  </r>
  <r>
    <n v="122"/>
    <n v="5263"/>
    <n v="28"/>
    <s v="Manager"/>
    <x v="1"/>
    <x v="122"/>
    <x v="19"/>
    <n v="92056"/>
    <x v="1"/>
  </r>
  <r>
    <n v="123"/>
    <n v="7486"/>
    <n v="45"/>
    <s v="Manager"/>
    <x v="4"/>
    <x v="123"/>
    <x v="20"/>
    <n v="186546"/>
    <x v="4"/>
  </r>
  <r>
    <n v="124"/>
    <n v="3717"/>
    <n v="58"/>
    <s v="Not manager"/>
    <x v="1"/>
    <x v="124"/>
    <x v="8"/>
    <n v="215978"/>
    <x v="3"/>
  </r>
  <r>
    <n v="125"/>
    <n v="1861"/>
    <n v="48"/>
    <s v="Manager"/>
    <x v="2"/>
    <x v="125"/>
    <x v="16"/>
    <n v="185892"/>
    <x v="4"/>
  </r>
  <r>
    <n v="126"/>
    <n v="1204"/>
    <n v="40"/>
    <s v="Not manager"/>
    <x v="3"/>
    <x v="6"/>
    <x v="18"/>
    <n v="158986"/>
    <x v="4"/>
  </r>
  <r>
    <n v="127"/>
    <n v="8608"/>
    <n v="55"/>
    <s v="Manager"/>
    <x v="0"/>
    <x v="126"/>
    <x v="8"/>
    <n v="202823"/>
    <x v="3"/>
  </r>
  <r>
    <n v="128"/>
    <n v="9278"/>
    <n v="56"/>
    <s v="Not manager"/>
    <x v="3"/>
    <x v="127"/>
    <x v="16"/>
    <n v="198549"/>
    <x v="3"/>
  </r>
  <r>
    <n v="129"/>
    <n v="1084"/>
    <n v="32"/>
    <s v="Manager"/>
    <x v="1"/>
    <x v="128"/>
    <x v="9"/>
    <n v="142300"/>
    <x v="2"/>
  </r>
  <r>
    <n v="130"/>
    <n v="3305"/>
    <n v="63"/>
    <s v="Manager"/>
    <x v="4"/>
    <x v="129"/>
    <x v="11"/>
    <n v="232577"/>
    <x v="0"/>
  </r>
  <r>
    <n v="131"/>
    <n v="1262"/>
    <n v="49"/>
    <s v="Manager"/>
    <x v="0"/>
    <x v="130"/>
    <x v="14"/>
    <n v="196293"/>
    <x v="4"/>
  </r>
  <r>
    <n v="132"/>
    <n v="2478"/>
    <n v="40"/>
    <s v="Not manager"/>
    <x v="2"/>
    <x v="131"/>
    <x v="20"/>
    <n v="185268"/>
    <x v="4"/>
  </r>
  <r>
    <n v="133"/>
    <n v="4357"/>
    <n v="41"/>
    <s v="Not manager"/>
    <x v="0"/>
    <x v="132"/>
    <x v="3"/>
    <n v="166636"/>
    <x v="4"/>
  </r>
  <r>
    <n v="134"/>
    <n v="1802"/>
    <n v="22"/>
    <s v="Not manager"/>
    <x v="0"/>
    <x v="133"/>
    <x v="19"/>
    <n v="94300"/>
    <x v="1"/>
  </r>
  <r>
    <n v="135"/>
    <n v="4666"/>
    <n v="49"/>
    <s v="Manager"/>
    <x v="2"/>
    <x v="134"/>
    <x v="16"/>
    <n v="198827"/>
    <x v="4"/>
  </r>
  <r>
    <n v="136"/>
    <n v="7327"/>
    <n v="44"/>
    <s v="Manager"/>
    <x v="0"/>
    <x v="135"/>
    <x v="16"/>
    <n v="190600"/>
    <x v="4"/>
  </r>
  <r>
    <n v="137"/>
    <n v="5722"/>
    <n v="43"/>
    <s v="Manager"/>
    <x v="3"/>
    <x v="136"/>
    <x v="14"/>
    <n v="187430"/>
    <x v="4"/>
  </r>
  <r>
    <n v="138"/>
    <n v="8172"/>
    <n v="45"/>
    <s v="Not manager"/>
    <x v="0"/>
    <x v="137"/>
    <x v="18"/>
    <n v="166573"/>
    <x v="4"/>
  </r>
  <r>
    <n v="139"/>
    <n v="2391"/>
    <n v="49"/>
    <s v="Manager"/>
    <x v="3"/>
    <x v="138"/>
    <x v="17"/>
    <n v="176961"/>
    <x v="4"/>
  </r>
  <r>
    <n v="140"/>
    <n v="3536"/>
    <n v="54"/>
    <s v="Manager"/>
    <x v="4"/>
    <x v="139"/>
    <x v="16"/>
    <n v="206014"/>
    <x v="3"/>
  </r>
  <r>
    <n v="141"/>
    <n v="7770"/>
    <n v="43"/>
    <s v="Manager"/>
    <x v="1"/>
    <x v="140"/>
    <x v="18"/>
    <n v="167653"/>
    <x v="4"/>
  </r>
  <r>
    <n v="142"/>
    <n v="1571"/>
    <n v="34"/>
    <s v="Not manager"/>
    <x v="4"/>
    <x v="141"/>
    <x v="9"/>
    <n v="138491"/>
    <x v="2"/>
  </r>
  <r>
    <n v="143"/>
    <n v="2558"/>
    <n v="29"/>
    <s v="Manager"/>
    <x v="2"/>
    <x v="31"/>
    <x v="5"/>
    <n v="113663"/>
    <x v="1"/>
  </r>
  <r>
    <n v="144"/>
    <n v="1197"/>
    <n v="57"/>
    <s v="Manager"/>
    <x v="1"/>
    <x v="142"/>
    <x v="16"/>
    <n v="195286"/>
    <x v="3"/>
  </r>
  <r>
    <n v="145"/>
    <n v="4842"/>
    <n v="55"/>
    <s v="Manager"/>
    <x v="1"/>
    <x v="143"/>
    <x v="13"/>
    <n v="215637"/>
    <x v="3"/>
  </r>
  <r>
    <n v="146"/>
    <n v="1809"/>
    <n v="43"/>
    <s v="Manager"/>
    <x v="0"/>
    <x v="144"/>
    <x v="18"/>
    <n v="170164"/>
    <x v="4"/>
  </r>
  <r>
    <n v="147"/>
    <n v="2304"/>
    <n v="57"/>
    <s v="Not manager"/>
    <x v="2"/>
    <x v="145"/>
    <x v="0"/>
    <n v="240851"/>
    <x v="3"/>
  </r>
  <r>
    <n v="148"/>
    <n v="2759"/>
    <n v="24"/>
    <s v="Not manager"/>
    <x v="4"/>
    <x v="146"/>
    <x v="25"/>
    <n v="78650"/>
    <x v="1"/>
  </r>
  <r>
    <n v="149"/>
    <n v="8278"/>
    <n v="25"/>
    <s v="Manager"/>
    <x v="1"/>
    <x v="147"/>
    <x v="1"/>
    <n v="101767"/>
    <x v="1"/>
  </r>
  <r>
    <n v="150"/>
    <n v="3797"/>
    <n v="57"/>
    <s v="Not manager"/>
    <x v="2"/>
    <x v="148"/>
    <x v="0"/>
    <n v="237787"/>
    <x v="3"/>
  </r>
  <r>
    <n v="151"/>
    <n v="1475"/>
    <n v="33"/>
    <s v="Not manager"/>
    <x v="2"/>
    <x v="149"/>
    <x v="7"/>
    <n v="120289"/>
    <x v="2"/>
  </r>
  <r>
    <n v="152"/>
    <n v="4165"/>
    <n v="59"/>
    <s v="Manager"/>
    <x v="3"/>
    <x v="150"/>
    <x v="11"/>
    <n v="229854"/>
    <x v="3"/>
  </r>
  <r>
    <n v="153"/>
    <n v="3292"/>
    <n v="33"/>
    <s v="Not manager"/>
    <x v="4"/>
    <x v="151"/>
    <x v="15"/>
    <n v="140462"/>
    <x v="2"/>
  </r>
  <r>
    <n v="154"/>
    <n v="1740"/>
    <n v="35"/>
    <s v="Manager"/>
    <x v="1"/>
    <x v="152"/>
    <x v="9"/>
    <n v="137966"/>
    <x v="2"/>
  </r>
  <r>
    <n v="155"/>
    <n v="5139"/>
    <n v="48"/>
    <s v="Manager"/>
    <x v="3"/>
    <x v="153"/>
    <x v="8"/>
    <n v="198685"/>
    <x v="4"/>
  </r>
  <r>
    <n v="156"/>
    <n v="4522"/>
    <n v="31"/>
    <s v="Not manager"/>
    <x v="2"/>
    <x v="154"/>
    <x v="1"/>
    <n v="97639"/>
    <x v="2"/>
  </r>
  <r>
    <n v="157"/>
    <n v="2227"/>
    <n v="51"/>
    <s v="Manager"/>
    <x v="1"/>
    <x v="155"/>
    <x v="13"/>
    <n v="213234"/>
    <x v="3"/>
  </r>
  <r>
    <n v="158"/>
    <n v="1859"/>
    <n v="58"/>
    <s v="Manager"/>
    <x v="0"/>
    <x v="156"/>
    <x v="13"/>
    <n v="223033"/>
    <x v="3"/>
  </r>
  <r>
    <n v="159"/>
    <n v="9580"/>
    <n v="57"/>
    <s v="Not manager"/>
    <x v="0"/>
    <x v="157"/>
    <x v="0"/>
    <n v="234249"/>
    <x v="3"/>
  </r>
  <r>
    <n v="160"/>
    <n v="7166"/>
    <n v="45"/>
    <s v="Manager"/>
    <x v="3"/>
    <x v="158"/>
    <x v="18"/>
    <n v="172147"/>
    <x v="4"/>
  </r>
  <r>
    <n v="161"/>
    <n v="2383"/>
    <n v="35"/>
    <s v="Manager"/>
    <x v="3"/>
    <x v="159"/>
    <x v="5"/>
    <n v="110715"/>
    <x v="2"/>
  </r>
  <r>
    <n v="162"/>
    <n v="7950"/>
    <n v="50"/>
    <s v="Manager"/>
    <x v="4"/>
    <x v="160"/>
    <x v="20"/>
    <n v="181074"/>
    <x v="3"/>
  </r>
  <r>
    <n v="163"/>
    <n v="5231"/>
    <n v="48"/>
    <s v="Manager"/>
    <x v="4"/>
    <x v="161"/>
    <x v="17"/>
    <n v="172103"/>
    <x v="4"/>
  </r>
  <r>
    <n v="164"/>
    <n v="3709"/>
    <n v="32"/>
    <s v="Not manager"/>
    <x v="4"/>
    <x v="162"/>
    <x v="7"/>
    <n v="121991"/>
    <x v="2"/>
  </r>
  <r>
    <n v="165"/>
    <n v="5077"/>
    <n v="49"/>
    <s v="Not manager"/>
    <x v="0"/>
    <x v="163"/>
    <x v="3"/>
    <n v="174787"/>
    <x v="4"/>
  </r>
  <r>
    <n v="166"/>
    <n v="8159"/>
    <n v="52"/>
    <s v="Not manager"/>
    <x v="4"/>
    <x v="164"/>
    <x v="16"/>
    <n v="200675"/>
    <x v="3"/>
  </r>
  <r>
    <n v="167"/>
    <n v="2327"/>
    <n v="35"/>
    <s v="Not manager"/>
    <x v="3"/>
    <x v="165"/>
    <x v="9"/>
    <n v="144719"/>
    <x v="2"/>
  </r>
  <r>
    <n v="168"/>
    <n v="8869"/>
    <n v="51"/>
    <s v="Not manager"/>
    <x v="2"/>
    <x v="166"/>
    <x v="16"/>
    <n v="198755"/>
    <x v="3"/>
  </r>
  <r>
    <n v="169"/>
    <n v="1184"/>
    <n v="44"/>
    <s v="Manager"/>
    <x v="3"/>
    <x v="167"/>
    <x v="12"/>
    <n v="150320"/>
    <x v="4"/>
  </r>
  <r>
    <n v="170"/>
    <n v="5290"/>
    <n v="52"/>
    <s v="Manager"/>
    <x v="2"/>
    <x v="168"/>
    <x v="16"/>
    <n v="196697"/>
    <x v="3"/>
  </r>
  <r>
    <n v="171"/>
    <n v="3041"/>
    <n v="29"/>
    <s v="Manager"/>
    <x v="0"/>
    <x v="169"/>
    <x v="15"/>
    <n v="133598"/>
    <x v="1"/>
  </r>
  <r>
    <n v="172"/>
    <n v="3995"/>
    <n v="38"/>
    <s v="Not manager"/>
    <x v="3"/>
    <x v="170"/>
    <x v="10"/>
    <n v="152005"/>
    <x v="2"/>
  </r>
  <r>
    <n v="173"/>
    <n v="3870"/>
    <n v="30"/>
    <s v="Manager"/>
    <x v="4"/>
    <x v="171"/>
    <x v="9"/>
    <n v="127810"/>
    <x v="2"/>
  </r>
  <r>
    <n v="174"/>
    <n v="7949"/>
    <n v="59"/>
    <s v="Not manager"/>
    <x v="3"/>
    <x v="172"/>
    <x v="4"/>
    <n v="245029"/>
    <x v="3"/>
  </r>
  <r>
    <n v="175"/>
    <n v="3635"/>
    <n v="40"/>
    <s v="Manager"/>
    <x v="1"/>
    <x v="173"/>
    <x v="3"/>
    <n v="159567"/>
    <x v="4"/>
  </r>
  <r>
    <n v="176"/>
    <n v="5679"/>
    <n v="38"/>
    <s v="Manager"/>
    <x v="2"/>
    <x v="174"/>
    <x v="3"/>
    <n v="165488"/>
    <x v="2"/>
  </r>
  <r>
    <n v="177"/>
    <n v="5525"/>
    <n v="36"/>
    <s v="Not manager"/>
    <x v="2"/>
    <x v="175"/>
    <x v="10"/>
    <n v="144373"/>
    <x v="2"/>
  </r>
  <r>
    <n v="178"/>
    <n v="9645"/>
    <n v="52"/>
    <s v="Not manager"/>
    <x v="0"/>
    <x v="176"/>
    <x v="16"/>
    <n v="209113"/>
    <x v="3"/>
  </r>
  <r>
    <n v="179"/>
    <n v="9968"/>
    <n v="62"/>
    <s v="Manager"/>
    <x v="4"/>
    <x v="177"/>
    <x v="11"/>
    <n v="230159"/>
    <x v="0"/>
  </r>
  <r>
    <n v="180"/>
    <n v="3953"/>
    <n v="62"/>
    <s v="Manager"/>
    <x v="2"/>
    <x v="178"/>
    <x v="21"/>
    <n v="242948"/>
    <x v="0"/>
  </r>
  <r>
    <n v="181"/>
    <n v="4758"/>
    <n v="42"/>
    <s v="Not manager"/>
    <x v="3"/>
    <x v="179"/>
    <x v="17"/>
    <n v="181627"/>
    <x v="4"/>
  </r>
  <r>
    <n v="182"/>
    <n v="7427"/>
    <n v="48"/>
    <s v="Not manager"/>
    <x v="4"/>
    <x v="180"/>
    <x v="14"/>
    <n v="185708"/>
    <x v="4"/>
  </r>
  <r>
    <n v="183"/>
    <n v="8999"/>
    <n v="28"/>
    <s v="Manager"/>
    <x v="2"/>
    <x v="181"/>
    <x v="5"/>
    <n v="111947"/>
    <x v="1"/>
  </r>
  <r>
    <n v="184"/>
    <n v="7658"/>
    <n v="53"/>
    <s v="Not manager"/>
    <x v="4"/>
    <x v="182"/>
    <x v="8"/>
    <n v="201058"/>
    <x v="3"/>
  </r>
  <r>
    <n v="185"/>
    <n v="4734"/>
    <n v="42"/>
    <s v="Manager"/>
    <x v="2"/>
    <x v="183"/>
    <x v="18"/>
    <n v="168451"/>
    <x v="4"/>
  </r>
  <r>
    <n v="186"/>
    <n v="7336"/>
    <n v="22"/>
    <s v="Manager"/>
    <x v="1"/>
    <x v="184"/>
    <x v="26"/>
    <n v="57732"/>
    <x v="1"/>
  </r>
  <r>
    <n v="187"/>
    <n v="4024"/>
    <n v="46"/>
    <s v="Manager"/>
    <x v="3"/>
    <x v="185"/>
    <x v="16"/>
    <n v="197413"/>
    <x v="4"/>
  </r>
  <r>
    <n v="188"/>
    <n v="7752"/>
    <n v="30"/>
    <s v="Not manager"/>
    <x v="2"/>
    <x v="186"/>
    <x v="15"/>
    <n v="121722"/>
    <x v="2"/>
  </r>
  <r>
    <n v="189"/>
    <n v="9981"/>
    <n v="30"/>
    <s v="Manager"/>
    <x v="3"/>
    <x v="187"/>
    <x v="10"/>
    <n v="152895"/>
    <x v="2"/>
  </r>
  <r>
    <n v="190"/>
    <n v="2003"/>
    <n v="30"/>
    <s v="Not manager"/>
    <x v="0"/>
    <x v="188"/>
    <x v="5"/>
    <n v="117925"/>
    <x v="2"/>
  </r>
  <r>
    <n v="191"/>
    <n v="9689"/>
    <n v="56"/>
    <s v="Manager"/>
    <x v="3"/>
    <x v="189"/>
    <x v="14"/>
    <n v="193844"/>
    <x v="3"/>
  </r>
  <r>
    <n v="192"/>
    <n v="2869"/>
    <n v="30"/>
    <s v="Manager"/>
    <x v="4"/>
    <x v="190"/>
    <x v="5"/>
    <n v="121879"/>
    <x v="2"/>
  </r>
  <r>
    <n v="193"/>
    <n v="9133"/>
    <n v="41"/>
    <s v="Manager"/>
    <x v="2"/>
    <x v="191"/>
    <x v="17"/>
    <n v="176397"/>
    <x v="4"/>
  </r>
  <r>
    <n v="194"/>
    <n v="5618"/>
    <n v="58"/>
    <s v="Manager"/>
    <x v="4"/>
    <x v="192"/>
    <x v="4"/>
    <n v="250658"/>
    <x v="3"/>
  </r>
  <r>
    <n v="195"/>
    <n v="2310"/>
    <n v="47"/>
    <s v="Not manager"/>
    <x v="3"/>
    <x v="193"/>
    <x v="17"/>
    <n v="176752"/>
    <x v="4"/>
  </r>
  <r>
    <n v="196"/>
    <n v="9025"/>
    <n v="32"/>
    <s v="Manager"/>
    <x v="2"/>
    <x v="194"/>
    <x v="7"/>
    <n v="123319"/>
    <x v="2"/>
  </r>
  <r>
    <n v="197"/>
    <n v="2227"/>
    <n v="60"/>
    <s v="Manager"/>
    <x v="2"/>
    <x v="195"/>
    <x v="21"/>
    <n v="258573"/>
    <x v="0"/>
  </r>
  <r>
    <n v="198"/>
    <n v="2996"/>
    <n v="42"/>
    <s v="Not manager"/>
    <x v="0"/>
    <x v="196"/>
    <x v="12"/>
    <n v="150946"/>
    <x v="4"/>
  </r>
  <r>
    <n v="199"/>
    <n v="3003"/>
    <n v="25"/>
    <s v="Manager"/>
    <x v="3"/>
    <x v="197"/>
    <x v="5"/>
    <n v="114361"/>
    <x v="1"/>
  </r>
  <r>
    <n v="200"/>
    <n v="7608"/>
    <n v="63"/>
    <s v="Manager"/>
    <x v="4"/>
    <x v="198"/>
    <x v="21"/>
    <n v="257944"/>
    <x v="0"/>
  </r>
  <r>
    <n v="201"/>
    <n v="1121"/>
    <n v="22"/>
    <s v="Not manager"/>
    <x v="4"/>
    <x v="199"/>
    <x v="19"/>
    <n v="91127"/>
    <x v="1"/>
  </r>
  <r>
    <n v="202"/>
    <n v="1838"/>
    <n v="64"/>
    <s v="Manager"/>
    <x v="3"/>
    <x v="200"/>
    <x v="23"/>
    <n v="273400"/>
    <x v="0"/>
  </r>
  <r>
    <n v="203"/>
    <n v="6586"/>
    <n v="46"/>
    <s v="Manager"/>
    <x v="3"/>
    <x v="201"/>
    <x v="16"/>
    <n v="196459"/>
    <x v="4"/>
  </r>
  <r>
    <n v="204"/>
    <n v="4148"/>
    <n v="34"/>
    <s v="Not manager"/>
    <x v="2"/>
    <x v="202"/>
    <x v="10"/>
    <n v="132705"/>
    <x v="2"/>
  </r>
  <r>
    <n v="205"/>
    <n v="6227"/>
    <n v="61"/>
    <s v="Manager"/>
    <x v="1"/>
    <x v="203"/>
    <x v="14"/>
    <n v="192494"/>
    <x v="0"/>
  </r>
  <r>
    <n v="206"/>
    <n v="6663"/>
    <n v="38"/>
    <s v="Manager"/>
    <x v="2"/>
    <x v="204"/>
    <x v="18"/>
    <n v="164835"/>
    <x v="2"/>
  </r>
  <r>
    <n v="207"/>
    <n v="9650"/>
    <n v="33"/>
    <s v="Not manager"/>
    <x v="0"/>
    <x v="205"/>
    <x v="7"/>
    <n v="126137"/>
    <x v="2"/>
  </r>
  <r>
    <n v="208"/>
    <n v="6929"/>
    <n v="51"/>
    <s v="Manager"/>
    <x v="3"/>
    <x v="206"/>
    <x v="16"/>
    <n v="200225"/>
    <x v="3"/>
  </r>
  <r>
    <n v="209"/>
    <n v="2863"/>
    <n v="46"/>
    <s v="Not manager"/>
    <x v="0"/>
    <x v="207"/>
    <x v="16"/>
    <n v="195891"/>
    <x v="4"/>
  </r>
  <r>
    <n v="210"/>
    <n v="8673"/>
    <n v="44"/>
    <s v="Manager"/>
    <x v="2"/>
    <x v="208"/>
    <x v="3"/>
    <n v="156207"/>
    <x v="4"/>
  </r>
  <r>
    <n v="211"/>
    <n v="2820"/>
    <n v="28"/>
    <s v="Manager"/>
    <x v="0"/>
    <x v="209"/>
    <x v="10"/>
    <n v="135734"/>
    <x v="1"/>
  </r>
  <r>
    <n v="212"/>
    <n v="6260"/>
    <n v="23"/>
    <s v="Not manager"/>
    <x v="1"/>
    <x v="210"/>
    <x v="5"/>
    <n v="109179"/>
    <x v="1"/>
  </r>
  <r>
    <n v="213"/>
    <n v="5238"/>
    <n v="48"/>
    <s v="Not manager"/>
    <x v="1"/>
    <x v="211"/>
    <x v="16"/>
    <n v="197005"/>
    <x v="4"/>
  </r>
  <r>
    <n v="214"/>
    <n v="1284"/>
    <n v="28"/>
    <s v="Not manager"/>
    <x v="1"/>
    <x v="212"/>
    <x v="1"/>
    <n v="89207"/>
    <x v="1"/>
  </r>
  <r>
    <n v="215"/>
    <n v="3247"/>
    <n v="34"/>
    <s v="Manager"/>
    <x v="0"/>
    <x v="213"/>
    <x v="15"/>
    <n v="138009"/>
    <x v="2"/>
  </r>
  <r>
    <n v="216"/>
    <n v="1541"/>
    <n v="62"/>
    <s v="Manager"/>
    <x v="4"/>
    <x v="214"/>
    <x v="22"/>
    <n v="233480"/>
    <x v="0"/>
  </r>
  <r>
    <n v="217"/>
    <n v="5004"/>
    <n v="57"/>
    <s v="Manager"/>
    <x v="0"/>
    <x v="215"/>
    <x v="8"/>
    <n v="206244"/>
    <x v="3"/>
  </r>
  <r>
    <n v="218"/>
    <n v="2696"/>
    <n v="56"/>
    <s v="Manager"/>
    <x v="0"/>
    <x v="216"/>
    <x v="8"/>
    <n v="207865"/>
    <x v="3"/>
  </r>
  <r>
    <n v="219"/>
    <n v="6407"/>
    <n v="43"/>
    <s v="Manager"/>
    <x v="4"/>
    <x v="217"/>
    <x v="18"/>
    <n v="160057"/>
    <x v="4"/>
  </r>
  <r>
    <n v="220"/>
    <n v="2699"/>
    <n v="40"/>
    <s v="Manager"/>
    <x v="0"/>
    <x v="218"/>
    <x v="15"/>
    <n v="135082"/>
    <x v="4"/>
  </r>
  <r>
    <n v="221"/>
    <n v="9383"/>
    <n v="57"/>
    <s v="Not manager"/>
    <x v="0"/>
    <x v="219"/>
    <x v="16"/>
    <n v="207482"/>
    <x v="3"/>
  </r>
  <r>
    <n v="222"/>
    <n v="2577"/>
    <n v="39"/>
    <s v="Not manager"/>
    <x v="3"/>
    <x v="220"/>
    <x v="12"/>
    <n v="144587"/>
    <x v="2"/>
  </r>
  <r>
    <n v="223"/>
    <n v="7746"/>
    <n v="41"/>
    <s v="Manager"/>
    <x v="1"/>
    <x v="221"/>
    <x v="17"/>
    <n v="179459"/>
    <x v="4"/>
  </r>
  <r>
    <n v="224"/>
    <n v="5622"/>
    <n v="59"/>
    <s v="Not manager"/>
    <x v="4"/>
    <x v="222"/>
    <x v="0"/>
    <n v="235895"/>
    <x v="3"/>
  </r>
  <r>
    <n v="225"/>
    <n v="4002"/>
    <n v="26"/>
    <s v="Not manager"/>
    <x v="3"/>
    <x v="223"/>
    <x v="9"/>
    <n v="134299"/>
    <x v="1"/>
  </r>
  <r>
    <n v="226"/>
    <n v="1643"/>
    <n v="34"/>
    <s v="Manager"/>
    <x v="1"/>
    <x v="224"/>
    <x v="9"/>
    <n v="134991"/>
    <x v="2"/>
  </r>
  <r>
    <n v="227"/>
    <n v="1459"/>
    <n v="26"/>
    <s v="Not manager"/>
    <x v="1"/>
    <x v="225"/>
    <x v="2"/>
    <n v="88841"/>
    <x v="1"/>
  </r>
  <r>
    <n v="228"/>
    <n v="3972"/>
    <n v="44"/>
    <s v="Not manager"/>
    <x v="2"/>
    <x v="226"/>
    <x v="20"/>
    <n v="184491"/>
    <x v="4"/>
  </r>
  <r>
    <n v="229"/>
    <n v="2714"/>
    <n v="43"/>
    <s v="Manager"/>
    <x v="1"/>
    <x v="227"/>
    <x v="3"/>
    <n v="154542"/>
    <x v="4"/>
  </r>
  <r>
    <n v="230"/>
    <n v="5785"/>
    <n v="42"/>
    <s v="Not manager"/>
    <x v="2"/>
    <x v="228"/>
    <x v="3"/>
    <n v="158115"/>
    <x v="4"/>
  </r>
  <r>
    <n v="231"/>
    <n v="5746"/>
    <n v="36"/>
    <s v="Not manager"/>
    <x v="2"/>
    <x v="229"/>
    <x v="5"/>
    <n v="113899"/>
    <x v="2"/>
  </r>
  <r>
    <n v="232"/>
    <n v="9400"/>
    <n v="25"/>
    <s v="Not manager"/>
    <x v="1"/>
    <x v="230"/>
    <x v="27"/>
    <n v="85343"/>
    <x v="1"/>
  </r>
  <r>
    <n v="233"/>
    <n v="4676"/>
    <n v="36"/>
    <s v="Manager"/>
    <x v="1"/>
    <x v="231"/>
    <x v="10"/>
    <n v="139873"/>
    <x v="2"/>
  </r>
  <r>
    <n v="234"/>
    <n v="9846"/>
    <n v="61"/>
    <s v="Not manager"/>
    <x v="1"/>
    <x v="232"/>
    <x v="0"/>
    <n v="246725"/>
    <x v="0"/>
  </r>
  <r>
    <n v="235"/>
    <n v="9108"/>
    <n v="57"/>
    <s v="Not manager"/>
    <x v="1"/>
    <x v="233"/>
    <x v="13"/>
    <n v="226201"/>
    <x v="3"/>
  </r>
  <r>
    <n v="236"/>
    <n v="3158"/>
    <n v="51"/>
    <s v="Manager"/>
    <x v="0"/>
    <x v="234"/>
    <x v="13"/>
    <n v="212105"/>
    <x v="3"/>
  </r>
  <r>
    <n v="237"/>
    <n v="7361"/>
    <n v="35"/>
    <s v="Not manager"/>
    <x v="2"/>
    <x v="235"/>
    <x v="10"/>
    <n v="149179"/>
    <x v="2"/>
  </r>
  <r>
    <n v="238"/>
    <n v="1959"/>
    <n v="36"/>
    <s v="Not manager"/>
    <x v="1"/>
    <x v="236"/>
    <x v="7"/>
    <n v="115898"/>
    <x v="2"/>
  </r>
  <r>
    <n v="239"/>
    <n v="9340"/>
    <n v="64"/>
    <s v="Manager"/>
    <x v="1"/>
    <x v="237"/>
    <x v="0"/>
    <n v="245207"/>
    <x v="0"/>
  </r>
  <r>
    <n v="240"/>
    <n v="9605"/>
    <n v="48"/>
    <s v="Not manager"/>
    <x v="1"/>
    <x v="238"/>
    <x v="18"/>
    <n v="163924"/>
    <x v="4"/>
  </r>
  <r>
    <n v="241"/>
    <n v="3361"/>
    <n v="46"/>
    <s v="Not manager"/>
    <x v="2"/>
    <x v="239"/>
    <x v="17"/>
    <n v="172224"/>
    <x v="4"/>
  </r>
  <r>
    <n v="242"/>
    <n v="4662"/>
    <n v="38"/>
    <s v="Manager"/>
    <x v="3"/>
    <x v="240"/>
    <x v="12"/>
    <n v="144990"/>
    <x v="2"/>
  </r>
  <r>
    <n v="243"/>
    <n v="4844"/>
    <n v="47"/>
    <s v="Manager"/>
    <x v="1"/>
    <x v="241"/>
    <x v="17"/>
    <n v="170676"/>
    <x v="4"/>
  </r>
  <r>
    <n v="244"/>
    <n v="6788"/>
    <n v="39"/>
    <s v="Manager"/>
    <x v="2"/>
    <x v="242"/>
    <x v="17"/>
    <n v="181837"/>
    <x v="2"/>
  </r>
  <r>
    <n v="245"/>
    <n v="4450"/>
    <n v="42"/>
    <s v="Not manager"/>
    <x v="4"/>
    <x v="243"/>
    <x v="10"/>
    <n v="133509"/>
    <x v="4"/>
  </r>
  <r>
    <n v="246"/>
    <n v="9076"/>
    <n v="58"/>
    <s v="Not manager"/>
    <x v="3"/>
    <x v="244"/>
    <x v="11"/>
    <n v="234402"/>
    <x v="3"/>
  </r>
  <r>
    <n v="247"/>
    <n v="8936"/>
    <n v="46"/>
    <s v="Not manager"/>
    <x v="2"/>
    <x v="245"/>
    <x v="3"/>
    <n v="165971"/>
    <x v="4"/>
  </r>
  <r>
    <n v="248"/>
    <n v="3578"/>
    <n v="31"/>
    <s v="Not manager"/>
    <x v="4"/>
    <x v="246"/>
    <x v="1"/>
    <n v="105359"/>
    <x v="2"/>
  </r>
  <r>
    <n v="249"/>
    <n v="5624"/>
    <n v="22"/>
    <s v="Manager"/>
    <x v="4"/>
    <x v="247"/>
    <x v="1"/>
    <n v="94383"/>
    <x v="1"/>
  </r>
  <r>
    <n v="250"/>
    <n v="3793"/>
    <n v="51"/>
    <s v="Not manager"/>
    <x v="4"/>
    <x v="248"/>
    <x v="14"/>
    <n v="198528"/>
    <x v="3"/>
  </r>
  <r>
    <n v="251"/>
    <n v="1804"/>
    <n v="62"/>
    <s v="Manager"/>
    <x v="4"/>
    <x v="249"/>
    <x v="4"/>
    <n v="242369"/>
    <x v="0"/>
  </r>
  <r>
    <n v="252"/>
    <n v="5169"/>
    <n v="52"/>
    <s v="Manager"/>
    <x v="4"/>
    <x v="250"/>
    <x v="20"/>
    <n v="182226"/>
    <x v="3"/>
  </r>
  <r>
    <n v="253"/>
    <n v="7658"/>
    <n v="27"/>
    <s v="Not manager"/>
    <x v="3"/>
    <x v="251"/>
    <x v="2"/>
    <n v="88117"/>
    <x v="1"/>
  </r>
  <r>
    <n v="254"/>
    <n v="3417"/>
    <n v="54"/>
    <s v="Manager"/>
    <x v="2"/>
    <x v="252"/>
    <x v="0"/>
    <n v="242515"/>
    <x v="3"/>
  </r>
  <r>
    <n v="255"/>
    <n v="4801"/>
    <n v="62"/>
    <s v="Not manager"/>
    <x v="0"/>
    <x v="253"/>
    <x v="24"/>
    <n v="281861"/>
    <x v="0"/>
  </r>
  <r>
    <n v="256"/>
    <n v="2427"/>
    <n v="61"/>
    <s v="Not manager"/>
    <x v="4"/>
    <x v="254"/>
    <x v="4"/>
    <n v="242118"/>
    <x v="0"/>
  </r>
  <r>
    <n v="257"/>
    <n v="4976"/>
    <n v="48"/>
    <s v="Manager"/>
    <x v="1"/>
    <x v="255"/>
    <x v="8"/>
    <n v="209490"/>
    <x v="4"/>
  </r>
  <r>
    <n v="258"/>
    <n v="2090"/>
    <n v="26"/>
    <s v="Not manager"/>
    <x v="4"/>
    <x v="256"/>
    <x v="2"/>
    <n v="89796"/>
    <x v="1"/>
  </r>
  <r>
    <n v="259"/>
    <n v="8575"/>
    <n v="41"/>
    <s v="Not manager"/>
    <x v="0"/>
    <x v="257"/>
    <x v="9"/>
    <n v="133309"/>
    <x v="4"/>
  </r>
  <r>
    <n v="260"/>
    <n v="6820"/>
    <n v="61"/>
    <s v="Not manager"/>
    <x v="4"/>
    <x v="258"/>
    <x v="0"/>
    <n v="242055"/>
    <x v="0"/>
  </r>
  <r>
    <n v="261"/>
    <n v="4433"/>
    <n v="59"/>
    <s v="Not manager"/>
    <x v="2"/>
    <x v="259"/>
    <x v="13"/>
    <n v="216452"/>
    <x v="3"/>
  </r>
  <r>
    <n v="262"/>
    <n v="2245"/>
    <n v="49"/>
    <s v="Not manager"/>
    <x v="1"/>
    <x v="260"/>
    <x v="20"/>
    <n v="175322"/>
    <x v="4"/>
  </r>
  <r>
    <n v="263"/>
    <n v="9271"/>
    <n v="41"/>
    <s v="Manager"/>
    <x v="2"/>
    <x v="261"/>
    <x v="10"/>
    <n v="143008"/>
    <x v="4"/>
  </r>
  <r>
    <n v="264"/>
    <n v="9654"/>
    <n v="42"/>
    <s v="Manager"/>
    <x v="1"/>
    <x v="262"/>
    <x v="20"/>
    <n v="188585"/>
    <x v="4"/>
  </r>
  <r>
    <n v="265"/>
    <n v="8985"/>
    <n v="40"/>
    <s v="Manager"/>
    <x v="4"/>
    <x v="263"/>
    <x v="17"/>
    <n v="170616"/>
    <x v="4"/>
  </r>
  <r>
    <n v="266"/>
    <n v="2461"/>
    <n v="29"/>
    <s v="Manager"/>
    <x v="3"/>
    <x v="264"/>
    <x v="27"/>
    <n v="76240"/>
    <x v="1"/>
  </r>
  <r>
    <n v="267"/>
    <n v="3151"/>
    <n v="33"/>
    <s v="Manager"/>
    <x v="3"/>
    <x v="265"/>
    <x v="7"/>
    <n v="126615"/>
    <x v="2"/>
  </r>
  <r>
    <n v="268"/>
    <n v="7639"/>
    <n v="56"/>
    <s v="Not manager"/>
    <x v="2"/>
    <x v="266"/>
    <x v="22"/>
    <n v="229698"/>
    <x v="3"/>
  </r>
  <r>
    <n v="269"/>
    <n v="5916"/>
    <n v="56"/>
    <s v="Not manager"/>
    <x v="4"/>
    <x v="267"/>
    <x v="14"/>
    <n v="187784"/>
    <x v="3"/>
  </r>
  <r>
    <n v="270"/>
    <n v="9431"/>
    <n v="36"/>
    <s v="Manager"/>
    <x v="0"/>
    <x v="268"/>
    <x v="15"/>
    <n v="138129"/>
    <x v="2"/>
  </r>
  <r>
    <n v="271"/>
    <n v="3881"/>
    <n v="23"/>
    <s v="Manager"/>
    <x v="4"/>
    <x v="269"/>
    <x v="25"/>
    <n v="67144"/>
    <x v="1"/>
  </r>
  <r>
    <n v="272"/>
    <n v="4413"/>
    <n v="64"/>
    <s v="Not manager"/>
    <x v="2"/>
    <x v="270"/>
    <x v="11"/>
    <n v="239949"/>
    <x v="0"/>
  </r>
  <r>
    <n v="273"/>
    <n v="6996"/>
    <n v="50"/>
    <s v="Manager"/>
    <x v="4"/>
    <x v="271"/>
    <x v="18"/>
    <n v="179365"/>
    <x v="3"/>
  </r>
  <r>
    <n v="274"/>
    <n v="9067"/>
    <n v="50"/>
    <s v="Manager"/>
    <x v="2"/>
    <x v="272"/>
    <x v="14"/>
    <n v="187838"/>
    <x v="3"/>
  </r>
  <r>
    <n v="275"/>
    <n v="7346"/>
    <n v="25"/>
    <s v="Not manager"/>
    <x v="0"/>
    <x v="273"/>
    <x v="15"/>
    <n v="132450"/>
    <x v="1"/>
  </r>
  <r>
    <n v="276"/>
    <n v="5348"/>
    <n v="51"/>
    <s v="Not manager"/>
    <x v="4"/>
    <x v="274"/>
    <x v="13"/>
    <n v="205100"/>
    <x v="3"/>
  </r>
  <r>
    <n v="277"/>
    <n v="8654"/>
    <n v="33"/>
    <s v="Not manager"/>
    <x v="3"/>
    <x v="275"/>
    <x v="5"/>
    <n v="116747"/>
    <x v="2"/>
  </r>
  <r>
    <n v="278"/>
    <n v="6135"/>
    <n v="39"/>
    <s v="Not manager"/>
    <x v="4"/>
    <x v="276"/>
    <x v="3"/>
    <n v="163267"/>
    <x v="2"/>
  </r>
  <r>
    <n v="279"/>
    <n v="9855"/>
    <n v="52"/>
    <s v="Not manager"/>
    <x v="4"/>
    <x v="277"/>
    <x v="16"/>
    <n v="201417"/>
    <x v="3"/>
  </r>
  <r>
    <n v="280"/>
    <n v="4372"/>
    <n v="24"/>
    <s v="Not manager"/>
    <x v="4"/>
    <x v="278"/>
    <x v="27"/>
    <n v="81020"/>
    <x v="1"/>
  </r>
  <r>
    <n v="281"/>
    <n v="5929"/>
    <n v="54"/>
    <s v="Not manager"/>
    <x v="0"/>
    <x v="279"/>
    <x v="22"/>
    <n v="223674"/>
    <x v="3"/>
  </r>
  <r>
    <n v="282"/>
    <n v="3596"/>
    <n v="47"/>
    <s v="Manager"/>
    <x v="1"/>
    <x v="280"/>
    <x v="8"/>
    <n v="210860"/>
    <x v="4"/>
  </r>
  <r>
    <n v="283"/>
    <n v="5750"/>
    <n v="43"/>
    <s v="Manager"/>
    <x v="0"/>
    <x v="281"/>
    <x v="18"/>
    <n v="166151"/>
    <x v="4"/>
  </r>
  <r>
    <n v="284"/>
    <n v="6969"/>
    <n v="49"/>
    <s v="Manager"/>
    <x v="1"/>
    <x v="282"/>
    <x v="13"/>
    <n v="221768"/>
    <x v="4"/>
  </r>
  <r>
    <n v="285"/>
    <n v="9046"/>
    <n v="61"/>
    <s v="Manager"/>
    <x v="2"/>
    <x v="283"/>
    <x v="22"/>
    <n v="228336"/>
    <x v="0"/>
  </r>
  <r>
    <n v="286"/>
    <n v="4744"/>
    <n v="23"/>
    <s v="Not manager"/>
    <x v="0"/>
    <x v="154"/>
    <x v="27"/>
    <n v="83287"/>
    <x v="1"/>
  </r>
  <r>
    <n v="287"/>
    <n v="9279"/>
    <n v="34"/>
    <s v="Not manager"/>
    <x v="3"/>
    <x v="284"/>
    <x v="5"/>
    <n v="107405"/>
    <x v="2"/>
  </r>
  <r>
    <n v="288"/>
    <n v="8703"/>
    <n v="28"/>
    <s v="Manager"/>
    <x v="0"/>
    <x v="285"/>
    <x v="5"/>
    <n v="108456"/>
    <x v="1"/>
  </r>
  <r>
    <n v="289"/>
    <n v="1390"/>
    <n v="62"/>
    <s v="Manager"/>
    <x v="2"/>
    <x v="286"/>
    <x v="23"/>
    <n v="266769"/>
    <x v="0"/>
  </r>
  <r>
    <n v="290"/>
    <n v="3432"/>
    <n v="60"/>
    <s v="Not manager"/>
    <x v="2"/>
    <x v="287"/>
    <x v="22"/>
    <n v="220626"/>
    <x v="0"/>
  </r>
  <r>
    <n v="291"/>
    <n v="6674"/>
    <n v="27"/>
    <s v="Manager"/>
    <x v="1"/>
    <x v="288"/>
    <x v="2"/>
    <n v="87783"/>
    <x v="1"/>
  </r>
  <r>
    <n v="292"/>
    <n v="9406"/>
    <n v="55"/>
    <s v="Manager"/>
    <x v="3"/>
    <x v="289"/>
    <x v="22"/>
    <n v="222819"/>
    <x v="3"/>
  </r>
  <r>
    <n v="293"/>
    <n v="5410"/>
    <n v="38"/>
    <s v="Not manager"/>
    <x v="0"/>
    <x v="290"/>
    <x v="12"/>
    <n v="156891"/>
    <x v="2"/>
  </r>
  <r>
    <n v="294"/>
    <n v="1985"/>
    <n v="41"/>
    <s v="Manager"/>
    <x v="2"/>
    <x v="291"/>
    <x v="3"/>
    <n v="166454"/>
    <x v="4"/>
  </r>
  <r>
    <n v="295"/>
    <n v="1586"/>
    <n v="59"/>
    <s v="Not manager"/>
    <x v="0"/>
    <x v="292"/>
    <x v="22"/>
    <n v="219860"/>
    <x v="3"/>
  </r>
  <r>
    <n v="296"/>
    <n v="6512"/>
    <n v="32"/>
    <s v="Not manager"/>
    <x v="3"/>
    <x v="237"/>
    <x v="5"/>
    <n v="119827"/>
    <x v="2"/>
  </r>
  <r>
    <n v="297"/>
    <n v="4130"/>
    <n v="50"/>
    <s v="Manager"/>
    <x v="4"/>
    <x v="293"/>
    <x v="16"/>
    <n v="200843"/>
    <x v="3"/>
  </r>
  <r>
    <n v="298"/>
    <n v="1545"/>
    <n v="34"/>
    <s v="Manager"/>
    <x v="1"/>
    <x v="294"/>
    <x v="9"/>
    <n v="134412"/>
    <x v="2"/>
  </r>
  <r>
    <n v="299"/>
    <n v="8876"/>
    <n v="58"/>
    <s v="Manager"/>
    <x v="1"/>
    <x v="295"/>
    <x v="11"/>
    <n v="232716"/>
    <x v="3"/>
  </r>
  <r>
    <n v="300"/>
    <n v="6444"/>
    <n v="23"/>
    <s v="Not manager"/>
    <x v="0"/>
    <x v="296"/>
    <x v="1"/>
    <n v="103933"/>
    <x v="1"/>
  </r>
  <r>
    <n v="301"/>
    <n v="6852"/>
    <n v="25"/>
    <s v="Not manager"/>
    <x v="1"/>
    <x v="297"/>
    <x v="19"/>
    <n v="92047"/>
    <x v="1"/>
  </r>
  <r>
    <n v="302"/>
    <n v="7321"/>
    <n v="44"/>
    <s v="Manager"/>
    <x v="1"/>
    <x v="298"/>
    <x v="17"/>
    <n v="172886"/>
    <x v="4"/>
  </r>
  <r>
    <n v="303"/>
    <n v="5556"/>
    <n v="37"/>
    <s v="Manager"/>
    <x v="4"/>
    <x v="299"/>
    <x v="9"/>
    <n v="138827"/>
    <x v="2"/>
  </r>
  <r>
    <n v="304"/>
    <n v="2377"/>
    <n v="46"/>
    <s v="Manager"/>
    <x v="0"/>
    <x v="300"/>
    <x v="17"/>
    <n v="180896"/>
    <x v="4"/>
  </r>
  <r>
    <n v="305"/>
    <n v="1169"/>
    <n v="39"/>
    <s v="Not manager"/>
    <x v="1"/>
    <x v="301"/>
    <x v="9"/>
    <n v="130190"/>
    <x v="2"/>
  </r>
  <r>
    <n v="306"/>
    <n v="3130"/>
    <n v="58"/>
    <s v="Manager"/>
    <x v="4"/>
    <x v="302"/>
    <x v="8"/>
    <n v="215277"/>
    <x v="3"/>
  </r>
  <r>
    <n v="307"/>
    <n v="8296"/>
    <n v="47"/>
    <s v="Manager"/>
    <x v="2"/>
    <x v="303"/>
    <x v="8"/>
    <n v="206424"/>
    <x v="4"/>
  </r>
  <r>
    <n v="308"/>
    <n v="1465"/>
    <n v="49"/>
    <s v="Manager"/>
    <x v="3"/>
    <x v="304"/>
    <x v="20"/>
    <n v="183184"/>
    <x v="4"/>
  </r>
  <r>
    <n v="309"/>
    <n v="2460"/>
    <n v="49"/>
    <s v="Not manager"/>
    <x v="2"/>
    <x v="305"/>
    <x v="13"/>
    <n v="214559"/>
    <x v="4"/>
  </r>
  <r>
    <n v="310"/>
    <n v="5218"/>
    <n v="23"/>
    <s v="Not manager"/>
    <x v="4"/>
    <x v="306"/>
    <x v="1"/>
    <n v="108976"/>
    <x v="1"/>
  </r>
  <r>
    <n v="311"/>
    <n v="2582"/>
    <n v="61"/>
    <s v="Not manager"/>
    <x v="1"/>
    <x v="307"/>
    <x v="22"/>
    <n v="219409"/>
    <x v="0"/>
  </r>
  <r>
    <n v="312"/>
    <n v="7872"/>
    <n v="60"/>
    <s v="Manager"/>
    <x v="3"/>
    <x v="308"/>
    <x v="22"/>
    <n v="227772"/>
    <x v="0"/>
  </r>
  <r>
    <n v="313"/>
    <n v="1548"/>
    <n v="47"/>
    <s v="Not manager"/>
    <x v="3"/>
    <x v="309"/>
    <x v="18"/>
    <n v="165170"/>
    <x v="4"/>
  </r>
  <r>
    <n v="314"/>
    <n v="6510"/>
    <n v="64"/>
    <s v="Not manager"/>
    <x v="0"/>
    <x v="310"/>
    <x v="11"/>
    <n v="234199"/>
    <x v="0"/>
  </r>
  <r>
    <n v="315"/>
    <n v="6788"/>
    <n v="48"/>
    <s v="Not manager"/>
    <x v="0"/>
    <x v="311"/>
    <x v="8"/>
    <n v="212050"/>
    <x v="4"/>
  </r>
  <r>
    <n v="316"/>
    <n v="7404"/>
    <n v="54"/>
    <s v="Manager"/>
    <x v="4"/>
    <x v="312"/>
    <x v="4"/>
    <n v="249856"/>
    <x v="3"/>
  </r>
  <r>
    <n v="317"/>
    <n v="6438"/>
    <n v="37"/>
    <s v="Manager"/>
    <x v="2"/>
    <x v="313"/>
    <x v="10"/>
    <n v="149464"/>
    <x v="2"/>
  </r>
  <r>
    <n v="318"/>
    <n v="4847"/>
    <n v="37"/>
    <s v="Manager"/>
    <x v="1"/>
    <x v="70"/>
    <x v="15"/>
    <n v="124970"/>
    <x v="2"/>
  </r>
  <r>
    <n v="319"/>
    <n v="7292"/>
    <n v="61"/>
    <s v="Manager"/>
    <x v="3"/>
    <x v="314"/>
    <x v="21"/>
    <n v="256982"/>
    <x v="0"/>
  </r>
  <r>
    <n v="320"/>
    <n v="6925"/>
    <n v="61"/>
    <s v="Not manager"/>
    <x v="4"/>
    <x v="315"/>
    <x v="4"/>
    <n v="243928"/>
    <x v="0"/>
  </r>
  <r>
    <n v="321"/>
    <n v="2232"/>
    <n v="46"/>
    <s v="Manager"/>
    <x v="3"/>
    <x v="316"/>
    <x v="20"/>
    <n v="189606"/>
    <x v="4"/>
  </r>
  <r>
    <n v="322"/>
    <n v="3471"/>
    <n v="32"/>
    <s v="Not manager"/>
    <x v="2"/>
    <x v="317"/>
    <x v="15"/>
    <n v="124879"/>
    <x v="2"/>
  </r>
  <r>
    <n v="323"/>
    <n v="3537"/>
    <n v="34"/>
    <s v="Manager"/>
    <x v="0"/>
    <x v="318"/>
    <x v="7"/>
    <n v="121239"/>
    <x v="2"/>
  </r>
  <r>
    <n v="324"/>
    <n v="9164"/>
    <n v="25"/>
    <s v="Not manager"/>
    <x v="0"/>
    <x v="319"/>
    <x v="25"/>
    <n v="75895"/>
    <x v="1"/>
  </r>
  <r>
    <n v="325"/>
    <n v="6318"/>
    <n v="42"/>
    <s v="Not manager"/>
    <x v="2"/>
    <x v="320"/>
    <x v="17"/>
    <n v="176472"/>
    <x v="4"/>
  </r>
  <r>
    <n v="326"/>
    <n v="9734"/>
    <n v="52"/>
    <s v="Manager"/>
    <x v="2"/>
    <x v="321"/>
    <x v="13"/>
    <n v="212809"/>
    <x v="3"/>
  </r>
  <r>
    <n v="327"/>
    <n v="6820"/>
    <n v="42"/>
    <s v="Not manager"/>
    <x v="1"/>
    <x v="322"/>
    <x v="3"/>
    <n v="163828"/>
    <x v="4"/>
  </r>
  <r>
    <n v="328"/>
    <n v="5827"/>
    <n v="27"/>
    <s v="Not manager"/>
    <x v="3"/>
    <x v="323"/>
    <x v="1"/>
    <n v="108619"/>
    <x v="1"/>
  </r>
  <r>
    <n v="329"/>
    <n v="5708"/>
    <n v="37"/>
    <s v="Manager"/>
    <x v="3"/>
    <x v="324"/>
    <x v="12"/>
    <n v="152992"/>
    <x v="2"/>
  </r>
  <r>
    <n v="330"/>
    <n v="9126"/>
    <n v="43"/>
    <s v="Not manager"/>
    <x v="2"/>
    <x v="325"/>
    <x v="3"/>
    <n v="154462"/>
    <x v="4"/>
  </r>
  <r>
    <n v="331"/>
    <n v="1862"/>
    <n v="39"/>
    <s v="Manager"/>
    <x v="1"/>
    <x v="326"/>
    <x v="10"/>
    <n v="143605"/>
    <x v="2"/>
  </r>
  <r>
    <n v="332"/>
    <n v="3905"/>
    <n v="39"/>
    <s v="Not manager"/>
    <x v="0"/>
    <x v="327"/>
    <x v="7"/>
    <n v="117870"/>
    <x v="2"/>
  </r>
  <r>
    <n v="333"/>
    <n v="5504"/>
    <n v="54"/>
    <s v="Manager"/>
    <x v="0"/>
    <x v="328"/>
    <x v="22"/>
    <n v="223902"/>
    <x v="3"/>
  </r>
  <r>
    <n v="334"/>
    <n v="1819"/>
    <n v="31"/>
    <s v="Manager"/>
    <x v="3"/>
    <x v="329"/>
    <x v="5"/>
    <n v="115875"/>
    <x v="2"/>
  </r>
  <r>
    <n v="335"/>
    <n v="2901"/>
    <n v="46"/>
    <s v="Not manager"/>
    <x v="2"/>
    <x v="330"/>
    <x v="14"/>
    <n v="187168"/>
    <x v="4"/>
  </r>
  <r>
    <n v="336"/>
    <n v="8229"/>
    <n v="64"/>
    <s v="Manager"/>
    <x v="2"/>
    <x v="331"/>
    <x v="6"/>
    <n v="265624"/>
    <x v="0"/>
  </r>
  <r>
    <n v="337"/>
    <n v="9442"/>
    <n v="62"/>
    <s v="Not manager"/>
    <x v="2"/>
    <x v="332"/>
    <x v="21"/>
    <n v="259400"/>
    <x v="0"/>
  </r>
  <r>
    <n v="338"/>
    <n v="4796"/>
    <n v="28"/>
    <s v="Manager"/>
    <x v="0"/>
    <x v="333"/>
    <x v="7"/>
    <n v="113486"/>
    <x v="1"/>
  </r>
  <r>
    <n v="339"/>
    <n v="1890"/>
    <n v="26"/>
    <s v="Manager"/>
    <x v="2"/>
    <x v="334"/>
    <x v="1"/>
    <n v="102162"/>
    <x v="1"/>
  </r>
  <r>
    <n v="340"/>
    <n v="2321"/>
    <n v="52"/>
    <s v="Manager"/>
    <x v="3"/>
    <x v="335"/>
    <x v="16"/>
    <n v="200331"/>
    <x v="3"/>
  </r>
  <r>
    <n v="341"/>
    <n v="6947"/>
    <n v="35"/>
    <s v="Manager"/>
    <x v="0"/>
    <x v="336"/>
    <x v="10"/>
    <n v="143134"/>
    <x v="2"/>
  </r>
  <r>
    <n v="342"/>
    <n v="2401"/>
    <n v="41"/>
    <s v="Manager"/>
    <x v="1"/>
    <x v="337"/>
    <x v="3"/>
    <n v="152367"/>
    <x v="4"/>
  </r>
  <r>
    <n v="343"/>
    <n v="3015"/>
    <n v="62"/>
    <s v="Not manager"/>
    <x v="4"/>
    <x v="338"/>
    <x v="4"/>
    <n v="241831"/>
    <x v="0"/>
  </r>
  <r>
    <n v="344"/>
    <n v="6354"/>
    <n v="46"/>
    <s v="Manager"/>
    <x v="0"/>
    <x v="339"/>
    <x v="17"/>
    <n v="174392"/>
    <x v="4"/>
  </r>
  <r>
    <n v="345"/>
    <n v="9023"/>
    <n v="44"/>
    <s v="Manager"/>
    <x v="1"/>
    <x v="340"/>
    <x v="18"/>
    <n v="166153"/>
    <x v="4"/>
  </r>
  <r>
    <n v="346"/>
    <n v="9431"/>
    <n v="22"/>
    <s v="Not manager"/>
    <x v="4"/>
    <x v="341"/>
    <x v="5"/>
    <n v="116114"/>
    <x v="1"/>
  </r>
  <r>
    <n v="347"/>
    <n v="1279"/>
    <n v="54"/>
    <s v="Not manager"/>
    <x v="1"/>
    <x v="342"/>
    <x v="8"/>
    <n v="215298"/>
    <x v="3"/>
  </r>
  <r>
    <n v="348"/>
    <n v="5865"/>
    <n v="44"/>
    <s v="Not manager"/>
    <x v="1"/>
    <x v="343"/>
    <x v="3"/>
    <n v="161836"/>
    <x v="4"/>
  </r>
  <r>
    <n v="349"/>
    <n v="8816"/>
    <n v="43"/>
    <s v="Manager"/>
    <x v="4"/>
    <x v="344"/>
    <x v="18"/>
    <n v="156464"/>
    <x v="4"/>
  </r>
  <r>
    <n v="350"/>
    <n v="7352"/>
    <n v="51"/>
    <s v="Manager"/>
    <x v="2"/>
    <x v="345"/>
    <x v="18"/>
    <n v="161728"/>
    <x v="3"/>
  </r>
  <r>
    <n v="351"/>
    <n v="8570"/>
    <n v="26"/>
    <s v="Manager"/>
    <x v="2"/>
    <x v="346"/>
    <x v="1"/>
    <n v="108822"/>
    <x v="1"/>
  </r>
  <r>
    <n v="352"/>
    <n v="7873"/>
    <n v="62"/>
    <s v="Manager"/>
    <x v="4"/>
    <x v="347"/>
    <x v="4"/>
    <n v="242129"/>
    <x v="0"/>
  </r>
  <r>
    <n v="353"/>
    <n v="5037"/>
    <n v="49"/>
    <s v="Manager"/>
    <x v="4"/>
    <x v="348"/>
    <x v="16"/>
    <n v="208439"/>
    <x v="4"/>
  </r>
  <r>
    <n v="354"/>
    <n v="6812"/>
    <n v="31"/>
    <s v="Manager"/>
    <x v="2"/>
    <x v="349"/>
    <x v="15"/>
    <n v="132859"/>
    <x v="2"/>
  </r>
  <r>
    <n v="355"/>
    <n v="6228"/>
    <n v="48"/>
    <s v="Not manager"/>
    <x v="4"/>
    <x v="350"/>
    <x v="16"/>
    <n v="197639"/>
    <x v="4"/>
  </r>
  <r>
    <n v="356"/>
    <n v="1541"/>
    <n v="27"/>
    <s v="Manager"/>
    <x v="4"/>
    <x v="351"/>
    <x v="2"/>
    <n v="78632"/>
    <x v="1"/>
  </r>
  <r>
    <n v="357"/>
    <n v="4009"/>
    <n v="23"/>
    <s v="Manager"/>
    <x v="0"/>
    <x v="352"/>
    <x v="2"/>
    <n v="80817"/>
    <x v="1"/>
  </r>
  <r>
    <n v="358"/>
    <n v="8185"/>
    <n v="46"/>
    <s v="Not manager"/>
    <x v="4"/>
    <x v="353"/>
    <x v="3"/>
    <n v="169224"/>
    <x v="4"/>
  </r>
  <r>
    <n v="359"/>
    <n v="8399"/>
    <n v="24"/>
    <s v="Manager"/>
    <x v="3"/>
    <x v="354"/>
    <x v="25"/>
    <n v="69736"/>
    <x v="1"/>
  </r>
  <r>
    <n v="360"/>
    <n v="4196"/>
    <n v="52"/>
    <s v="Not manager"/>
    <x v="2"/>
    <x v="355"/>
    <x v="17"/>
    <n v="172041"/>
    <x v="3"/>
  </r>
  <r>
    <n v="361"/>
    <n v="1944"/>
    <n v="49"/>
    <s v="Not manager"/>
    <x v="1"/>
    <x v="356"/>
    <x v="17"/>
    <n v="175269"/>
    <x v="4"/>
  </r>
  <r>
    <n v="362"/>
    <n v="4672"/>
    <n v="27"/>
    <s v="Not manager"/>
    <x v="1"/>
    <x v="357"/>
    <x v="19"/>
    <n v="96587"/>
    <x v="1"/>
  </r>
  <r>
    <n v="363"/>
    <n v="2424"/>
    <n v="61"/>
    <s v="Manager"/>
    <x v="0"/>
    <x v="358"/>
    <x v="22"/>
    <n v="228121"/>
    <x v="0"/>
  </r>
  <r>
    <n v="364"/>
    <n v="3389"/>
    <n v="57"/>
    <s v="Not manager"/>
    <x v="2"/>
    <x v="359"/>
    <x v="22"/>
    <n v="219082"/>
    <x v="3"/>
  </r>
  <r>
    <n v="365"/>
    <n v="9010"/>
    <n v="30"/>
    <s v="Manager"/>
    <x v="1"/>
    <x v="360"/>
    <x v="5"/>
    <n v="112660"/>
    <x v="2"/>
  </r>
  <r>
    <n v="366"/>
    <n v="7713"/>
    <n v="50"/>
    <s v="Manager"/>
    <x v="1"/>
    <x v="361"/>
    <x v="14"/>
    <n v="192120"/>
    <x v="3"/>
  </r>
  <r>
    <n v="367"/>
    <n v="4303"/>
    <n v="35"/>
    <s v="Not manager"/>
    <x v="0"/>
    <x v="362"/>
    <x v="9"/>
    <n v="138446"/>
    <x v="2"/>
  </r>
  <r>
    <n v="368"/>
    <n v="7683"/>
    <n v="62"/>
    <s v="Manager"/>
    <x v="2"/>
    <x v="363"/>
    <x v="4"/>
    <n v="248320"/>
    <x v="0"/>
  </r>
  <r>
    <n v="369"/>
    <n v="7362"/>
    <n v="49"/>
    <s v="Not manager"/>
    <x v="2"/>
    <x v="364"/>
    <x v="3"/>
    <n v="156711"/>
    <x v="4"/>
  </r>
  <r>
    <n v="370"/>
    <n v="1718"/>
    <n v="49"/>
    <s v="Manager"/>
    <x v="4"/>
    <x v="365"/>
    <x v="22"/>
    <n v="226499"/>
    <x v="4"/>
  </r>
  <r>
    <n v="371"/>
    <n v="6548"/>
    <n v="57"/>
    <s v="Not manager"/>
    <x v="4"/>
    <x v="366"/>
    <x v="13"/>
    <n v="207647"/>
    <x v="3"/>
  </r>
  <r>
    <n v="372"/>
    <n v="6273"/>
    <n v="37"/>
    <s v="Not manager"/>
    <x v="3"/>
    <x v="367"/>
    <x v="12"/>
    <n v="150282"/>
    <x v="2"/>
  </r>
  <r>
    <n v="373"/>
    <n v="5076"/>
    <n v="63"/>
    <s v="Manager"/>
    <x v="2"/>
    <x v="368"/>
    <x v="28"/>
    <n v="293410"/>
    <x v="0"/>
  </r>
  <r>
    <n v="374"/>
    <n v="6914"/>
    <n v="23"/>
    <s v="Not manager"/>
    <x v="1"/>
    <x v="369"/>
    <x v="25"/>
    <n v="66124"/>
    <x v="1"/>
  </r>
  <r>
    <n v="375"/>
    <n v="1068"/>
    <n v="47"/>
    <s v="Not manager"/>
    <x v="4"/>
    <x v="370"/>
    <x v="3"/>
    <n v="162792"/>
    <x v="4"/>
  </r>
  <r>
    <n v="376"/>
    <n v="1539"/>
    <n v="42"/>
    <s v="Manager"/>
    <x v="0"/>
    <x v="371"/>
    <x v="17"/>
    <n v="169701"/>
    <x v="4"/>
  </r>
  <r>
    <n v="377"/>
    <n v="2565"/>
    <n v="26"/>
    <s v="Not manager"/>
    <x v="0"/>
    <x v="372"/>
    <x v="19"/>
    <n v="89021"/>
    <x v="1"/>
  </r>
  <r>
    <n v="378"/>
    <n v="7334"/>
    <n v="63"/>
    <s v="Manager"/>
    <x v="4"/>
    <x v="373"/>
    <x v="4"/>
    <n v="253048"/>
    <x v="0"/>
  </r>
  <r>
    <n v="379"/>
    <n v="2974"/>
    <n v="22"/>
    <s v="Not manager"/>
    <x v="1"/>
    <x v="374"/>
    <x v="29"/>
    <n v="43177"/>
    <x v="1"/>
  </r>
  <r>
    <n v="380"/>
    <n v="2346"/>
    <n v="36"/>
    <s v="Not manager"/>
    <x v="4"/>
    <x v="375"/>
    <x v="1"/>
    <n v="103682"/>
    <x v="2"/>
  </r>
  <r>
    <n v="381"/>
    <n v="2800"/>
    <n v="30"/>
    <s v="Not manager"/>
    <x v="4"/>
    <x v="376"/>
    <x v="15"/>
    <n v="129947"/>
    <x v="2"/>
  </r>
  <r>
    <n v="382"/>
    <n v="4437"/>
    <n v="62"/>
    <s v="Manager"/>
    <x v="0"/>
    <x v="377"/>
    <x v="11"/>
    <n v="227252"/>
    <x v="0"/>
  </r>
  <r>
    <n v="383"/>
    <n v="6007"/>
    <n v="32"/>
    <s v="Not manager"/>
    <x v="1"/>
    <x v="378"/>
    <x v="7"/>
    <n v="127305"/>
    <x v="2"/>
  </r>
  <r>
    <n v="384"/>
    <n v="2510"/>
    <n v="51"/>
    <s v="Manager"/>
    <x v="3"/>
    <x v="379"/>
    <x v="14"/>
    <n v="184578"/>
    <x v="3"/>
  </r>
  <r>
    <n v="385"/>
    <n v="7197"/>
    <n v="45"/>
    <s v="Not manager"/>
    <x v="4"/>
    <x v="380"/>
    <x v="20"/>
    <n v="189031"/>
    <x v="4"/>
  </r>
  <r>
    <n v="386"/>
    <n v="5262"/>
    <n v="61"/>
    <s v="Not manager"/>
    <x v="2"/>
    <x v="381"/>
    <x v="0"/>
    <n v="242312"/>
    <x v="0"/>
  </r>
  <r>
    <n v="387"/>
    <n v="4315"/>
    <n v="47"/>
    <s v="Not manager"/>
    <x v="1"/>
    <x v="382"/>
    <x v="14"/>
    <n v="199412"/>
    <x v="4"/>
  </r>
  <r>
    <n v="388"/>
    <n v="8268"/>
    <n v="42"/>
    <s v="Not manager"/>
    <x v="2"/>
    <x v="383"/>
    <x v="17"/>
    <n v="181466"/>
    <x v="4"/>
  </r>
  <r>
    <n v="389"/>
    <n v="6197"/>
    <n v="61"/>
    <s v="Not manager"/>
    <x v="3"/>
    <x v="384"/>
    <x v="21"/>
    <n v="249787"/>
    <x v="0"/>
  </r>
  <r>
    <n v="390"/>
    <n v="6190"/>
    <n v="23"/>
    <s v="Manager"/>
    <x v="4"/>
    <x v="385"/>
    <x v="27"/>
    <n v="75579"/>
    <x v="1"/>
  </r>
  <r>
    <n v="391"/>
    <n v="8585"/>
    <n v="33"/>
    <s v="Not manager"/>
    <x v="1"/>
    <x v="386"/>
    <x v="5"/>
    <n v="110956"/>
    <x v="2"/>
  </r>
  <r>
    <n v="392"/>
    <n v="4689"/>
    <n v="52"/>
    <s v="Not manager"/>
    <x v="2"/>
    <x v="387"/>
    <x v="16"/>
    <n v="205417"/>
    <x v="3"/>
  </r>
  <r>
    <n v="393"/>
    <n v="9048"/>
    <n v="44"/>
    <s v="Not manager"/>
    <x v="0"/>
    <x v="388"/>
    <x v="16"/>
    <n v="196804"/>
    <x v="4"/>
  </r>
  <r>
    <n v="394"/>
    <n v="7445"/>
    <n v="46"/>
    <s v="Not manager"/>
    <x v="4"/>
    <x v="389"/>
    <x v="18"/>
    <n v="171101"/>
    <x v="4"/>
  </r>
  <r>
    <n v="395"/>
    <n v="2129"/>
    <n v="27"/>
    <s v="Not manager"/>
    <x v="4"/>
    <x v="390"/>
    <x v="19"/>
    <n v="103203"/>
    <x v="1"/>
  </r>
  <r>
    <n v="396"/>
    <n v="2973"/>
    <n v="26"/>
    <s v="Manager"/>
    <x v="0"/>
    <x v="391"/>
    <x v="7"/>
    <n v="120056"/>
    <x v="1"/>
  </r>
  <r>
    <n v="397"/>
    <n v="5722"/>
    <n v="30"/>
    <s v="Manager"/>
    <x v="1"/>
    <x v="392"/>
    <x v="15"/>
    <n v="136030"/>
    <x v="2"/>
  </r>
  <r>
    <n v="398"/>
    <n v="4334"/>
    <n v="58"/>
    <s v="Not manager"/>
    <x v="4"/>
    <x v="393"/>
    <x v="22"/>
    <n v="225695"/>
    <x v="3"/>
  </r>
  <r>
    <n v="399"/>
    <n v="3900"/>
    <n v="44"/>
    <s v="Manager"/>
    <x v="4"/>
    <x v="394"/>
    <x v="10"/>
    <n v="140411"/>
    <x v="4"/>
  </r>
  <r>
    <n v="400"/>
    <n v="9317"/>
    <n v="45"/>
    <s v="Manager"/>
    <x v="0"/>
    <x v="395"/>
    <x v="18"/>
    <n v="169472"/>
    <x v="4"/>
  </r>
  <r>
    <n v="401"/>
    <n v="7802"/>
    <n v="23"/>
    <s v="Not manager"/>
    <x v="0"/>
    <x v="396"/>
    <x v="19"/>
    <n v="94602"/>
    <x v="1"/>
  </r>
  <r>
    <n v="402"/>
    <n v="3189"/>
    <n v="43"/>
    <s v="Manager"/>
    <x v="0"/>
    <x v="397"/>
    <x v="17"/>
    <n v="176423"/>
    <x v="4"/>
  </r>
  <r>
    <n v="403"/>
    <n v="2803"/>
    <n v="41"/>
    <s v="Manager"/>
    <x v="0"/>
    <x v="398"/>
    <x v="3"/>
    <n v="173046"/>
    <x v="4"/>
  </r>
  <r>
    <n v="404"/>
    <n v="9086"/>
    <n v="26"/>
    <s v="Not manager"/>
    <x v="2"/>
    <x v="399"/>
    <x v="19"/>
    <n v="82230"/>
    <x v="1"/>
  </r>
  <r>
    <n v="405"/>
    <n v="9975"/>
    <n v="22"/>
    <s v="Manager"/>
    <x v="4"/>
    <x v="400"/>
    <x v="25"/>
    <n v="65079"/>
    <x v="1"/>
  </r>
  <r>
    <n v="406"/>
    <n v="8328"/>
    <n v="51"/>
    <s v="Manager"/>
    <x v="1"/>
    <x v="401"/>
    <x v="14"/>
    <n v="194961"/>
    <x v="3"/>
  </r>
  <r>
    <n v="407"/>
    <n v="1695"/>
    <n v="55"/>
    <s v="Not manager"/>
    <x v="4"/>
    <x v="402"/>
    <x v="14"/>
    <n v="192619"/>
    <x v="3"/>
  </r>
  <r>
    <n v="408"/>
    <n v="6633"/>
    <n v="27"/>
    <s v="Not manager"/>
    <x v="3"/>
    <x v="403"/>
    <x v="15"/>
    <n v="123888"/>
    <x v="1"/>
  </r>
  <r>
    <n v="409"/>
    <n v="5922"/>
    <n v="57"/>
    <s v="Manager"/>
    <x v="1"/>
    <x v="404"/>
    <x v="11"/>
    <n v="225741"/>
    <x v="3"/>
  </r>
  <r>
    <n v="410"/>
    <n v="4364"/>
    <n v="54"/>
    <s v="Not manager"/>
    <x v="0"/>
    <x v="405"/>
    <x v="22"/>
    <n v="221040"/>
    <x v="3"/>
  </r>
  <r>
    <n v="411"/>
    <n v="9938"/>
    <n v="34"/>
    <s v="Not manager"/>
    <x v="3"/>
    <x v="406"/>
    <x v="15"/>
    <n v="133650"/>
    <x v="2"/>
  </r>
  <r>
    <n v="412"/>
    <n v="4303"/>
    <n v="31"/>
    <s v="Not manager"/>
    <x v="2"/>
    <x v="407"/>
    <x v="2"/>
    <n v="93339"/>
    <x v="2"/>
  </r>
  <r>
    <n v="413"/>
    <n v="4845"/>
    <n v="42"/>
    <s v="Not manager"/>
    <x v="0"/>
    <x v="408"/>
    <x v="3"/>
    <n v="163242"/>
    <x v="4"/>
  </r>
  <r>
    <n v="414"/>
    <n v="8086"/>
    <n v="36"/>
    <s v="Not manager"/>
    <x v="4"/>
    <x v="409"/>
    <x v="15"/>
    <n v="126451"/>
    <x v="2"/>
  </r>
  <r>
    <n v="415"/>
    <n v="4245"/>
    <n v="23"/>
    <s v="Not manager"/>
    <x v="3"/>
    <x v="410"/>
    <x v="2"/>
    <n v="91619"/>
    <x v="1"/>
  </r>
  <r>
    <n v="416"/>
    <n v="6736"/>
    <n v="43"/>
    <s v="Manager"/>
    <x v="2"/>
    <x v="411"/>
    <x v="3"/>
    <n v="171600"/>
    <x v="4"/>
  </r>
  <r>
    <n v="417"/>
    <n v="9276"/>
    <n v="23"/>
    <s v="Not manager"/>
    <x v="4"/>
    <x v="412"/>
    <x v="27"/>
    <n v="75749"/>
    <x v="1"/>
  </r>
  <r>
    <n v="418"/>
    <n v="4411"/>
    <n v="36"/>
    <s v="Manager"/>
    <x v="2"/>
    <x v="413"/>
    <x v="12"/>
    <n v="146689"/>
    <x v="2"/>
  </r>
  <r>
    <n v="419"/>
    <n v="3693"/>
    <n v="36"/>
    <s v="Manager"/>
    <x v="4"/>
    <x v="414"/>
    <x v="9"/>
    <n v="141159"/>
    <x v="2"/>
  </r>
  <r>
    <n v="420"/>
    <n v="1513"/>
    <n v="41"/>
    <s v="Not manager"/>
    <x v="0"/>
    <x v="415"/>
    <x v="10"/>
    <n v="143584"/>
    <x v="4"/>
  </r>
  <r>
    <n v="421"/>
    <n v="6094"/>
    <n v="30"/>
    <s v="Manager"/>
    <x v="2"/>
    <x v="416"/>
    <x v="19"/>
    <n v="92136"/>
    <x v="2"/>
  </r>
  <r>
    <n v="422"/>
    <n v="9908"/>
    <n v="53"/>
    <s v="Not manager"/>
    <x v="4"/>
    <x v="417"/>
    <x v="8"/>
    <n v="204041"/>
    <x v="3"/>
  </r>
  <r>
    <n v="423"/>
    <n v="5991"/>
    <n v="60"/>
    <s v="Not manager"/>
    <x v="3"/>
    <x v="418"/>
    <x v="11"/>
    <n v="227146"/>
    <x v="0"/>
  </r>
  <r>
    <n v="424"/>
    <n v="8398"/>
    <n v="36"/>
    <s v="Manager"/>
    <x v="0"/>
    <x v="419"/>
    <x v="5"/>
    <n v="107232"/>
    <x v="2"/>
  </r>
  <r>
    <n v="425"/>
    <n v="2660"/>
    <n v="57"/>
    <s v="Not manager"/>
    <x v="1"/>
    <x v="420"/>
    <x v="22"/>
    <n v="222824"/>
    <x v="3"/>
  </r>
  <r>
    <n v="426"/>
    <n v="7255"/>
    <n v="37"/>
    <s v="Not manager"/>
    <x v="0"/>
    <x v="421"/>
    <x v="18"/>
    <n v="162790"/>
    <x v="2"/>
  </r>
  <r>
    <n v="427"/>
    <n v="2687"/>
    <n v="50"/>
    <s v="Manager"/>
    <x v="4"/>
    <x v="422"/>
    <x v="10"/>
    <n v="150069"/>
    <x v="3"/>
  </r>
  <r>
    <n v="428"/>
    <n v="8717"/>
    <n v="44"/>
    <s v="Not manager"/>
    <x v="0"/>
    <x v="423"/>
    <x v="17"/>
    <n v="172707"/>
    <x v="4"/>
  </r>
  <r>
    <n v="429"/>
    <n v="1471"/>
    <n v="49"/>
    <s v="Not manager"/>
    <x v="4"/>
    <x v="424"/>
    <x v="16"/>
    <n v="200491"/>
    <x v="4"/>
  </r>
  <r>
    <n v="430"/>
    <n v="3188"/>
    <n v="64"/>
    <s v="Not manager"/>
    <x v="0"/>
    <x v="425"/>
    <x v="4"/>
    <n v="247653"/>
    <x v="0"/>
  </r>
  <r>
    <n v="431"/>
    <n v="7435"/>
    <n v="49"/>
    <s v="Not manager"/>
    <x v="0"/>
    <x v="426"/>
    <x v="14"/>
    <n v="191755"/>
    <x v="4"/>
  </r>
  <r>
    <n v="432"/>
    <n v="2002"/>
    <n v="27"/>
    <s v="Manager"/>
    <x v="1"/>
    <x v="427"/>
    <x v="7"/>
    <n v="125131"/>
    <x v="1"/>
  </r>
  <r>
    <n v="433"/>
    <n v="5880"/>
    <n v="42"/>
    <s v="Not manager"/>
    <x v="1"/>
    <x v="428"/>
    <x v="18"/>
    <n v="164265"/>
    <x v="4"/>
  </r>
  <r>
    <n v="434"/>
    <n v="4796"/>
    <n v="28"/>
    <s v="Not manager"/>
    <x v="1"/>
    <x v="429"/>
    <x v="7"/>
    <n v="109701"/>
    <x v="1"/>
  </r>
  <r>
    <n v="435"/>
    <n v="7768"/>
    <n v="53"/>
    <s v="Not manager"/>
    <x v="1"/>
    <x v="430"/>
    <x v="11"/>
    <n v="238477"/>
    <x v="3"/>
  </r>
  <r>
    <n v="436"/>
    <n v="4407"/>
    <n v="48"/>
    <s v="Not manager"/>
    <x v="3"/>
    <x v="431"/>
    <x v="14"/>
    <n v="193938"/>
    <x v="4"/>
  </r>
  <r>
    <n v="437"/>
    <n v="4747"/>
    <n v="49"/>
    <s v="Not manager"/>
    <x v="2"/>
    <x v="432"/>
    <x v="3"/>
    <n v="156976"/>
    <x v="4"/>
  </r>
  <r>
    <n v="438"/>
    <n v="9893"/>
    <n v="54"/>
    <s v="Not manager"/>
    <x v="1"/>
    <x v="433"/>
    <x v="11"/>
    <n v="229200"/>
    <x v="3"/>
  </r>
  <r>
    <n v="439"/>
    <n v="1779"/>
    <n v="47"/>
    <s v="Not manager"/>
    <x v="1"/>
    <x v="434"/>
    <x v="14"/>
    <n v="194985"/>
    <x v="4"/>
  </r>
  <r>
    <n v="440"/>
    <n v="3531"/>
    <n v="40"/>
    <s v="Manager"/>
    <x v="3"/>
    <x v="435"/>
    <x v="12"/>
    <n v="150665"/>
    <x v="4"/>
  </r>
  <r>
    <n v="441"/>
    <n v="9943"/>
    <n v="45"/>
    <s v="Not manager"/>
    <x v="2"/>
    <x v="436"/>
    <x v="17"/>
    <n v="187991"/>
    <x v="4"/>
  </r>
  <r>
    <n v="442"/>
    <n v="6308"/>
    <n v="55"/>
    <s v="Not manager"/>
    <x v="2"/>
    <x v="437"/>
    <x v="8"/>
    <n v="202446"/>
    <x v="3"/>
  </r>
  <r>
    <n v="443"/>
    <n v="4784"/>
    <n v="55"/>
    <s v="Manager"/>
    <x v="0"/>
    <x v="438"/>
    <x v="16"/>
    <n v="203933"/>
    <x v="3"/>
  </r>
  <r>
    <n v="444"/>
    <n v="8665"/>
    <n v="59"/>
    <s v="Manager"/>
    <x v="1"/>
    <x v="439"/>
    <x v="11"/>
    <n v="234277"/>
    <x v="3"/>
  </r>
  <r>
    <n v="445"/>
    <n v="8492"/>
    <n v="54"/>
    <s v="Manager"/>
    <x v="3"/>
    <x v="440"/>
    <x v="22"/>
    <n v="225715"/>
    <x v="3"/>
  </r>
  <r>
    <n v="446"/>
    <n v="2639"/>
    <n v="24"/>
    <s v="Not manager"/>
    <x v="3"/>
    <x v="441"/>
    <x v="27"/>
    <n v="75812"/>
    <x v="1"/>
  </r>
  <r>
    <n v="447"/>
    <n v="3328"/>
    <n v="24"/>
    <s v="Manager"/>
    <x v="1"/>
    <x v="442"/>
    <x v="26"/>
    <n v="68134"/>
    <x v="1"/>
  </r>
  <r>
    <n v="448"/>
    <n v="3255"/>
    <n v="48"/>
    <s v="Not manager"/>
    <x v="0"/>
    <x v="443"/>
    <x v="3"/>
    <n v="155985"/>
    <x v="4"/>
  </r>
  <r>
    <n v="449"/>
    <n v="4651"/>
    <n v="50"/>
    <s v="Manager"/>
    <x v="0"/>
    <x v="444"/>
    <x v="13"/>
    <n v="222685"/>
    <x v="3"/>
  </r>
  <r>
    <n v="450"/>
    <n v="6391"/>
    <n v="49"/>
    <s v="Not manager"/>
    <x v="1"/>
    <x v="445"/>
    <x v="22"/>
    <n v="220500"/>
    <x v="4"/>
  </r>
  <r>
    <n v="451"/>
    <n v="9655"/>
    <n v="31"/>
    <s v="Manager"/>
    <x v="0"/>
    <x v="446"/>
    <x v="7"/>
    <n v="126388"/>
    <x v="2"/>
  </r>
  <r>
    <n v="452"/>
    <n v="6856"/>
    <n v="37"/>
    <s v="Manager"/>
    <x v="1"/>
    <x v="447"/>
    <x v="18"/>
    <n v="169212"/>
    <x v="2"/>
  </r>
  <r>
    <n v="453"/>
    <n v="7141"/>
    <n v="45"/>
    <s v="Manager"/>
    <x v="3"/>
    <x v="448"/>
    <x v="14"/>
    <n v="186015"/>
    <x v="4"/>
  </r>
  <r>
    <n v="454"/>
    <n v="2259"/>
    <n v="52"/>
    <s v="Manager"/>
    <x v="0"/>
    <x v="449"/>
    <x v="13"/>
    <n v="217544"/>
    <x v="3"/>
  </r>
  <r>
    <n v="455"/>
    <n v="5518"/>
    <n v="33"/>
    <s v="Manager"/>
    <x v="2"/>
    <x v="450"/>
    <x v="9"/>
    <n v="128767"/>
    <x v="2"/>
  </r>
  <r>
    <n v="456"/>
    <n v="5641"/>
    <n v="60"/>
    <s v="Not manager"/>
    <x v="2"/>
    <x v="451"/>
    <x v="13"/>
    <n v="216812"/>
    <x v="0"/>
  </r>
  <r>
    <n v="457"/>
    <n v="8734"/>
    <n v="50"/>
    <s v="Not manager"/>
    <x v="3"/>
    <x v="452"/>
    <x v="18"/>
    <n v="174984"/>
    <x v="3"/>
  </r>
  <r>
    <n v="458"/>
    <n v="7473"/>
    <n v="49"/>
    <s v="Manager"/>
    <x v="1"/>
    <x v="453"/>
    <x v="14"/>
    <n v="192274"/>
    <x v="4"/>
  </r>
  <r>
    <n v="459"/>
    <n v="8293"/>
    <n v="52"/>
    <s v="Manager"/>
    <x v="4"/>
    <x v="454"/>
    <x v="22"/>
    <n v="216683"/>
    <x v="3"/>
  </r>
  <r>
    <n v="460"/>
    <n v="1014"/>
    <n v="51"/>
    <s v="Not manager"/>
    <x v="3"/>
    <x v="455"/>
    <x v="17"/>
    <n v="184887"/>
    <x v="3"/>
  </r>
  <r>
    <n v="461"/>
    <n v="4824"/>
    <n v="42"/>
    <s v="Manager"/>
    <x v="1"/>
    <x v="456"/>
    <x v="18"/>
    <n v="160580"/>
    <x v="4"/>
  </r>
  <r>
    <n v="462"/>
    <n v="8260"/>
    <n v="55"/>
    <s v="Not manager"/>
    <x v="2"/>
    <x v="457"/>
    <x v="0"/>
    <n v="245031"/>
    <x v="3"/>
  </r>
  <r>
    <n v="463"/>
    <n v="8101"/>
    <n v="52"/>
    <s v="Manager"/>
    <x v="3"/>
    <x v="458"/>
    <x v="12"/>
    <n v="148735"/>
    <x v="3"/>
  </r>
  <r>
    <n v="464"/>
    <n v="1488"/>
    <n v="44"/>
    <s v="Manager"/>
    <x v="3"/>
    <x v="459"/>
    <x v="12"/>
    <n v="150934"/>
    <x v="4"/>
  </r>
  <r>
    <n v="465"/>
    <n v="9373"/>
    <n v="52"/>
    <s v="Manager"/>
    <x v="2"/>
    <x v="460"/>
    <x v="4"/>
    <n v="249071"/>
    <x v="3"/>
  </r>
  <r>
    <n v="466"/>
    <n v="2643"/>
    <n v="53"/>
    <s v="Not manager"/>
    <x v="3"/>
    <x v="461"/>
    <x v="11"/>
    <n v="235550"/>
    <x v="3"/>
  </r>
  <r>
    <n v="467"/>
    <n v="1498"/>
    <n v="36"/>
    <s v="Not manager"/>
    <x v="1"/>
    <x v="462"/>
    <x v="12"/>
    <n v="151124"/>
    <x v="2"/>
  </r>
  <r>
    <n v="468"/>
    <n v="1515"/>
    <n v="39"/>
    <s v="Not manager"/>
    <x v="1"/>
    <x v="463"/>
    <x v="9"/>
    <n v="140001"/>
    <x v="2"/>
  </r>
  <r>
    <n v="469"/>
    <n v="1919"/>
    <n v="23"/>
    <s v="Manager"/>
    <x v="3"/>
    <x v="464"/>
    <x v="27"/>
    <n v="78834"/>
    <x v="1"/>
  </r>
  <r>
    <n v="470"/>
    <n v="4464"/>
    <n v="27"/>
    <s v="Manager"/>
    <x v="4"/>
    <x v="465"/>
    <x v="27"/>
    <n v="82592"/>
    <x v="1"/>
  </r>
  <r>
    <n v="471"/>
    <n v="6062"/>
    <n v="27"/>
    <s v="Not manager"/>
    <x v="3"/>
    <x v="466"/>
    <x v="5"/>
    <n v="115688"/>
    <x v="1"/>
  </r>
  <r>
    <n v="472"/>
    <n v="8609"/>
    <n v="60"/>
    <s v="Not manager"/>
    <x v="1"/>
    <x v="467"/>
    <x v="6"/>
    <n v="263818"/>
    <x v="0"/>
  </r>
  <r>
    <n v="473"/>
    <n v="3523"/>
    <n v="45"/>
    <s v="Not manager"/>
    <x v="3"/>
    <x v="468"/>
    <x v="20"/>
    <n v="178139"/>
    <x v="4"/>
  </r>
  <r>
    <n v="474"/>
    <n v="7576"/>
    <n v="48"/>
    <s v="Manager"/>
    <x v="1"/>
    <x v="469"/>
    <x v="14"/>
    <n v="194575"/>
    <x v="4"/>
  </r>
  <r>
    <n v="475"/>
    <n v="9175"/>
    <n v="44"/>
    <s v="Manager"/>
    <x v="1"/>
    <x v="470"/>
    <x v="13"/>
    <n v="213467"/>
    <x v="4"/>
  </r>
  <r>
    <n v="476"/>
    <n v="4299"/>
    <n v="43"/>
    <s v="Manager"/>
    <x v="1"/>
    <x v="471"/>
    <x v="12"/>
    <n v="155006"/>
    <x v="4"/>
  </r>
  <r>
    <n v="477"/>
    <n v="1747"/>
    <n v="51"/>
    <s v="Manager"/>
    <x v="2"/>
    <x v="472"/>
    <x v="14"/>
    <n v="192646"/>
    <x v="3"/>
  </r>
  <r>
    <n v="478"/>
    <n v="5284"/>
    <n v="62"/>
    <s v="Not manager"/>
    <x v="4"/>
    <x v="473"/>
    <x v="11"/>
    <n v="232123"/>
    <x v="0"/>
  </r>
  <r>
    <n v="479"/>
    <n v="3907"/>
    <n v="56"/>
    <s v="Manager"/>
    <x v="1"/>
    <x v="474"/>
    <x v="11"/>
    <n v="229395"/>
    <x v="3"/>
  </r>
  <r>
    <n v="480"/>
    <n v="3543"/>
    <n v="45"/>
    <s v="Not manager"/>
    <x v="2"/>
    <x v="475"/>
    <x v="16"/>
    <n v="202850"/>
    <x v="4"/>
  </r>
  <r>
    <n v="481"/>
    <n v="5168"/>
    <n v="23"/>
    <s v="Manager"/>
    <x v="4"/>
    <x v="476"/>
    <x v="27"/>
    <n v="85536"/>
    <x v="1"/>
  </r>
  <r>
    <n v="482"/>
    <n v="2060"/>
    <n v="42"/>
    <s v="Manager"/>
    <x v="3"/>
    <x v="477"/>
    <x v="18"/>
    <n v="172003"/>
    <x v="4"/>
  </r>
  <r>
    <n v="483"/>
    <n v="5476"/>
    <n v="56"/>
    <s v="Not manager"/>
    <x v="0"/>
    <x v="478"/>
    <x v="11"/>
    <n v="235111"/>
    <x v="3"/>
  </r>
  <r>
    <n v="484"/>
    <n v="5336"/>
    <n v="60"/>
    <s v="Manager"/>
    <x v="1"/>
    <x v="479"/>
    <x v="21"/>
    <n v="248177"/>
    <x v="0"/>
  </r>
  <r>
    <n v="485"/>
    <n v="7226"/>
    <n v="38"/>
    <s v="Manager"/>
    <x v="3"/>
    <x v="480"/>
    <x v="16"/>
    <n v="199358"/>
    <x v="2"/>
  </r>
  <r>
    <n v="486"/>
    <n v="7799"/>
    <n v="42"/>
    <s v="Not manager"/>
    <x v="0"/>
    <x v="481"/>
    <x v="14"/>
    <n v="189242"/>
    <x v="4"/>
  </r>
  <r>
    <n v="487"/>
    <n v="1518"/>
    <n v="35"/>
    <s v="Manager"/>
    <x v="1"/>
    <x v="482"/>
    <x v="5"/>
    <n v="115170"/>
    <x v="2"/>
  </r>
  <r>
    <n v="488"/>
    <n v="5175"/>
    <n v="64"/>
    <s v="Not manager"/>
    <x v="4"/>
    <x v="483"/>
    <x v="24"/>
    <n v="285886"/>
    <x v="0"/>
  </r>
  <r>
    <n v="489"/>
    <n v="8349"/>
    <n v="48"/>
    <s v="Manager"/>
    <x v="4"/>
    <x v="484"/>
    <x v="20"/>
    <n v="177664"/>
    <x v="4"/>
  </r>
  <r>
    <n v="490"/>
    <n v="2319"/>
    <n v="29"/>
    <s v="Not manager"/>
    <x v="2"/>
    <x v="485"/>
    <x v="7"/>
    <n v="113358"/>
    <x v="1"/>
  </r>
  <r>
    <n v="491"/>
    <n v="5357"/>
    <n v="27"/>
    <s v="Manager"/>
    <x v="0"/>
    <x v="486"/>
    <x v="5"/>
    <n v="115037"/>
    <x v="1"/>
  </r>
  <r>
    <n v="492"/>
    <n v="6309"/>
    <n v="43"/>
    <s v="Manager"/>
    <x v="3"/>
    <x v="487"/>
    <x v="20"/>
    <n v="183906"/>
    <x v="4"/>
  </r>
  <r>
    <n v="493"/>
    <n v="3870"/>
    <n v="42"/>
    <s v="Not manager"/>
    <x v="4"/>
    <x v="488"/>
    <x v="17"/>
    <n v="176978"/>
    <x v="4"/>
  </r>
  <r>
    <n v="494"/>
    <n v="3740"/>
    <n v="59"/>
    <s v="Not manager"/>
    <x v="3"/>
    <x v="489"/>
    <x v="4"/>
    <n v="257256"/>
    <x v="3"/>
  </r>
  <r>
    <n v="495"/>
    <n v="8426"/>
    <n v="32"/>
    <s v="Manager"/>
    <x v="2"/>
    <x v="490"/>
    <x v="15"/>
    <n v="126088"/>
    <x v="2"/>
  </r>
  <r>
    <n v="496"/>
    <n v="9810"/>
    <n v="26"/>
    <s v="Manager"/>
    <x v="4"/>
    <x v="491"/>
    <x v="7"/>
    <n v="118094"/>
    <x v="1"/>
  </r>
  <r>
    <n v="497"/>
    <n v="5396"/>
    <n v="34"/>
    <s v="Not manager"/>
    <x v="0"/>
    <x v="492"/>
    <x v="15"/>
    <n v="131208"/>
    <x v="2"/>
  </r>
  <r>
    <n v="498"/>
    <n v="7546"/>
    <n v="60"/>
    <s v="Not manager"/>
    <x v="3"/>
    <x v="493"/>
    <x v="22"/>
    <n v="224502"/>
    <x v="0"/>
  </r>
  <r>
    <n v="499"/>
    <n v="7744"/>
    <n v="29"/>
    <s v="Manager"/>
    <x v="0"/>
    <x v="494"/>
    <x v="7"/>
    <n v="114758"/>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1">
  <r>
    <n v="0"/>
    <n v="8794"/>
    <n v="60"/>
    <x v="0"/>
    <s v="Finance"/>
    <d v="1994-03-24T00:00:00"/>
    <n v="30"/>
    <n v="238668"/>
    <x v="0"/>
  </r>
  <r>
    <n v="1"/>
    <n v="8222"/>
    <n v="28"/>
    <x v="1"/>
    <s v="Sales"/>
    <d v="1979-12-08T00:00:00"/>
    <n v="13"/>
    <n v="105995"/>
    <x v="1"/>
  </r>
  <r>
    <n v="2"/>
    <n v="7643"/>
    <n v="30"/>
    <x v="0"/>
    <s v="Marketing"/>
    <d v="1998-09-25T00:00:00"/>
    <n v="11"/>
    <n v="96120"/>
    <x v="2"/>
  </r>
  <r>
    <n v="3"/>
    <n v="2737"/>
    <n v="38"/>
    <x v="1"/>
    <s v="Hr"/>
    <d v="2011-11-23T00:00:00"/>
    <n v="20"/>
    <n v="153525"/>
    <x v="2"/>
  </r>
  <r>
    <n v="4"/>
    <n v="8557"/>
    <n v="61"/>
    <x v="1"/>
    <s v="Hr"/>
    <d v="1976-10-08T00:00:00"/>
    <n v="31"/>
    <n v="249192"/>
    <x v="0"/>
  </r>
  <r>
    <n v="5"/>
    <n v="8484"/>
    <n v="31"/>
    <x v="0"/>
    <s v="Marketing"/>
    <d v="1982-06-07T00:00:00"/>
    <n v="14"/>
    <n v="112443"/>
    <x v="2"/>
  </r>
  <r>
    <n v="6"/>
    <n v="5854"/>
    <n v="64"/>
    <x v="0"/>
    <s v="Finance"/>
    <d v="1981-11-12T00:00:00"/>
    <n v="33"/>
    <n v="269150"/>
    <x v="0"/>
  </r>
  <r>
    <n v="7"/>
    <n v="6012"/>
    <n v="33"/>
    <x v="0"/>
    <s v="Finance"/>
    <d v="1983-09-28T00:00:00"/>
    <n v="13"/>
    <n v="99541"/>
    <x v="2"/>
  </r>
  <r>
    <n v="8"/>
    <n v="7462"/>
    <n v="34"/>
    <x v="0"/>
    <s v="Finance"/>
    <d v="2021-01-22T00:00:00"/>
    <n v="15"/>
    <n v="119128"/>
    <x v="2"/>
  </r>
  <r>
    <n v="9"/>
    <n v="7276"/>
    <n v="23"/>
    <x v="0"/>
    <s v="Finance"/>
    <d v="2014-10-03T00:00:00"/>
    <n v="11"/>
    <n v="83249"/>
    <x v="1"/>
  </r>
  <r>
    <n v="10"/>
    <n v="6621"/>
    <n v="51"/>
    <x v="1"/>
    <s v="It"/>
    <d v="1974-03-12T00:00:00"/>
    <n v="26"/>
    <n v="201259"/>
    <x v="3"/>
  </r>
  <r>
    <n v="11"/>
    <n v="7461"/>
    <n v="43"/>
    <x v="1"/>
    <s v="It"/>
    <d v="1991-06-08T00:00:00"/>
    <n v="17"/>
    <n v="144477"/>
    <x v="4"/>
  </r>
  <r>
    <n v="12"/>
    <n v="4181"/>
    <n v="33"/>
    <x v="1"/>
    <s v="Finance"/>
    <d v="2015-04-22T00:00:00"/>
    <n v="18"/>
    <n v="148126"/>
    <x v="2"/>
  </r>
  <r>
    <n v="13"/>
    <n v="9770"/>
    <n v="64"/>
    <x v="0"/>
    <s v="Marketing"/>
    <d v="1984-08-07T00:00:00"/>
    <n v="29"/>
    <n v="237357"/>
    <x v="0"/>
  </r>
  <r>
    <n v="14"/>
    <n v="9138"/>
    <n v="41"/>
    <x v="1"/>
    <s v="Finance"/>
    <d v="2004-11-17T00:00:00"/>
    <n v="19"/>
    <n v="158446"/>
    <x v="4"/>
  </r>
  <r>
    <n v="15"/>
    <n v="7182"/>
    <n v="30"/>
    <x v="1"/>
    <s v="Marketing"/>
    <d v="1982-11-04T00:00:00"/>
    <n v="15"/>
    <n v="124601"/>
    <x v="2"/>
  </r>
  <r>
    <n v="16"/>
    <n v="9901"/>
    <n v="60"/>
    <x v="1"/>
    <s v="It"/>
    <d v="2001-03-22T00:00:00"/>
    <n v="27"/>
    <n v="209673"/>
    <x v="0"/>
  </r>
  <r>
    <n v="17"/>
    <n v="9684"/>
    <n v="25"/>
    <x v="0"/>
    <s v="Finance"/>
    <d v="2023-11-23T00:00:00"/>
    <n v="11"/>
    <n v="88325"/>
    <x v="1"/>
  </r>
  <r>
    <n v="18"/>
    <n v="6645"/>
    <n v="30"/>
    <x v="0"/>
    <s v="Marketing"/>
    <d v="2002-05-02T00:00:00"/>
    <n v="14"/>
    <n v="117761"/>
    <x v="2"/>
  </r>
  <r>
    <n v="19"/>
    <n v="4049"/>
    <n v="45"/>
    <x v="1"/>
    <s v="It"/>
    <d v="1992-10-09T00:00:00"/>
    <n v="24"/>
    <n v="193695"/>
    <x v="4"/>
  </r>
  <r>
    <n v="20"/>
    <n v="7857"/>
    <n v="56"/>
    <x v="1"/>
    <s v="Finance"/>
    <d v="1973-05-13T00:00:00"/>
    <n v="27"/>
    <n v="223718"/>
    <x v="3"/>
  </r>
  <r>
    <n v="21"/>
    <n v="3757"/>
    <n v="32"/>
    <x v="1"/>
    <s v="Finance"/>
    <d v="2009-10-31T00:00:00"/>
    <n v="16"/>
    <n v="136877"/>
    <x v="2"/>
  </r>
  <r>
    <n v="22"/>
    <n v="9062"/>
    <n v="49"/>
    <x v="1"/>
    <s v="Sales"/>
    <d v="2013-07-29T00:00:00"/>
    <n v="24"/>
    <n v="201355"/>
    <x v="4"/>
  </r>
  <r>
    <n v="23"/>
    <n v="4459"/>
    <n v="52"/>
    <x v="0"/>
    <s v="Hr"/>
    <d v="2014-06-12T00:00:00"/>
    <n v="25"/>
    <n v="197155"/>
    <x v="3"/>
  </r>
  <r>
    <n v="24"/>
    <n v="2444"/>
    <n v="43"/>
    <x v="1"/>
    <s v="It"/>
    <d v="1985-02-13T00:00:00"/>
    <n v="22"/>
    <n v="181254"/>
    <x v="4"/>
  </r>
  <r>
    <n v="25"/>
    <n v="3005"/>
    <n v="56"/>
    <x v="1"/>
    <s v="Sales"/>
    <d v="2009-03-13T00:00:00"/>
    <n v="24"/>
    <n v="197009"/>
    <x v="3"/>
  </r>
  <r>
    <n v="26"/>
    <n v="6797"/>
    <n v="47"/>
    <x v="1"/>
    <s v="It"/>
    <d v="1996-03-20T00:00:00"/>
    <n v="26"/>
    <n v="201648"/>
    <x v="4"/>
  </r>
  <r>
    <n v="27"/>
    <n v="5040"/>
    <n v="37"/>
    <x v="1"/>
    <s v="Hr"/>
    <d v="1972-02-13T00:00:00"/>
    <n v="22"/>
    <n v="186028"/>
    <x v="2"/>
  </r>
  <r>
    <n v="28"/>
    <n v="9477"/>
    <n v="54"/>
    <x v="1"/>
    <s v="It"/>
    <d v="2008-03-10T00:00:00"/>
    <n v="26"/>
    <n v="201094"/>
    <x v="3"/>
  </r>
  <r>
    <n v="29"/>
    <n v="3555"/>
    <n v="48"/>
    <x v="1"/>
    <s v="Sales"/>
    <d v="1980-07-01T00:00:00"/>
    <n v="25"/>
    <n v="192419"/>
    <x v="4"/>
  </r>
  <r>
    <n v="30"/>
    <n v="3490"/>
    <n v="28"/>
    <x v="1"/>
    <s v="It"/>
    <d v="2004-09-02T00:00:00"/>
    <n v="13"/>
    <n v="103102"/>
    <x v="1"/>
  </r>
  <r>
    <n v="31"/>
    <n v="3637"/>
    <n v="62"/>
    <x v="1"/>
    <s v="Marketing"/>
    <d v="1976-01-13T00:00:00"/>
    <n v="31"/>
    <n v="248038"/>
    <x v="0"/>
  </r>
  <r>
    <n v="32"/>
    <n v="9629"/>
    <n v="44"/>
    <x v="1"/>
    <s v="Marketing"/>
    <d v="1994-07-22T00:00:00"/>
    <n v="22"/>
    <n v="178656"/>
    <x v="4"/>
  </r>
  <r>
    <n v="33"/>
    <n v="6809"/>
    <n v="40"/>
    <x v="1"/>
    <s v="It"/>
    <d v="1976-08-09T00:00:00"/>
    <n v="19"/>
    <n v="149831"/>
    <x v="4"/>
  </r>
  <r>
    <n v="34"/>
    <n v="8660"/>
    <n v="34"/>
    <x v="1"/>
    <s v="Hr"/>
    <d v="2019-03-03T00:00:00"/>
    <n v="17"/>
    <n v="137180"/>
    <x v="2"/>
  </r>
  <r>
    <n v="35"/>
    <n v="3840"/>
    <n v="45"/>
    <x v="1"/>
    <s v="Sales"/>
    <d v="1972-11-15T00:00:00"/>
    <n v="22"/>
    <n v="173071"/>
    <x v="4"/>
  </r>
  <r>
    <n v="36"/>
    <n v="8354"/>
    <n v="45"/>
    <x v="0"/>
    <s v="Finance"/>
    <d v="1971-09-28T00:00:00"/>
    <n v="22"/>
    <n v="177939"/>
    <x v="4"/>
  </r>
  <r>
    <n v="37"/>
    <n v="9487"/>
    <n v="37"/>
    <x v="0"/>
    <s v="Sales"/>
    <d v="2024-08-06T00:00:00"/>
    <n v="14"/>
    <n v="115812"/>
    <x v="2"/>
  </r>
  <r>
    <n v="38"/>
    <n v="1501"/>
    <n v="47"/>
    <x v="1"/>
    <s v="Marketing"/>
    <d v="1988-09-17T00:00:00"/>
    <n v="21"/>
    <n v="159633"/>
    <x v="4"/>
  </r>
  <r>
    <n v="39"/>
    <n v="3766"/>
    <n v="30"/>
    <x v="1"/>
    <s v="Marketing"/>
    <d v="1977-06-23T00:00:00"/>
    <n v="16"/>
    <n v="132927"/>
    <x v="2"/>
  </r>
  <r>
    <n v="40"/>
    <n v="6867"/>
    <n v="47"/>
    <x v="0"/>
    <s v="Sales"/>
    <d v="2008-08-10T00:00:00"/>
    <n v="26"/>
    <n v="208357"/>
    <x v="4"/>
  </r>
  <r>
    <n v="41"/>
    <n v="3272"/>
    <n v="22"/>
    <x v="1"/>
    <s v="Sales"/>
    <d v="1994-09-16T00:00:00"/>
    <n v="12"/>
    <n v="98088"/>
    <x v="1"/>
  </r>
  <r>
    <n v="42"/>
    <n v="9299"/>
    <n v="45"/>
    <x v="0"/>
    <s v="Sales"/>
    <d v="2021-02-04T00:00:00"/>
    <n v="20"/>
    <n v="162526"/>
    <x v="4"/>
  </r>
  <r>
    <n v="43"/>
    <n v="3681"/>
    <n v="48"/>
    <x v="1"/>
    <s v="Finance"/>
    <d v="1974-02-20T00:00:00"/>
    <n v="23"/>
    <n v="182251"/>
    <x v="4"/>
  </r>
  <r>
    <n v="44"/>
    <n v="1311"/>
    <n v="51"/>
    <x v="1"/>
    <s v="Sales"/>
    <d v="2022-04-21T00:00:00"/>
    <n v="27"/>
    <n v="222715"/>
    <x v="3"/>
  </r>
  <r>
    <n v="45"/>
    <n v="7563"/>
    <n v="31"/>
    <x v="0"/>
    <s v="Finance"/>
    <d v="1982-01-11T00:00:00"/>
    <n v="17"/>
    <n v="133435"/>
    <x v="2"/>
  </r>
  <r>
    <n v="46"/>
    <n v="1977"/>
    <n v="38"/>
    <x v="0"/>
    <s v="Finance"/>
    <d v="2019-05-11T00:00:00"/>
    <n v="18"/>
    <n v="130398"/>
    <x v="2"/>
  </r>
  <r>
    <n v="47"/>
    <n v="2765"/>
    <n v="40"/>
    <x v="1"/>
    <s v="Sales"/>
    <d v="2000-01-14T00:00:00"/>
    <n v="21"/>
    <n v="164496"/>
    <x v="4"/>
  </r>
  <r>
    <n v="48"/>
    <n v="1385"/>
    <n v="42"/>
    <x v="0"/>
    <s v="Finance"/>
    <d v="2006-09-01T00:00:00"/>
    <n v="19"/>
    <n v="158595"/>
    <x v="4"/>
  </r>
  <r>
    <n v="49"/>
    <n v="4113"/>
    <n v="64"/>
    <x v="0"/>
    <s v="Marketing"/>
    <d v="2012-06-09T00:00:00"/>
    <n v="30"/>
    <n v="236259"/>
    <x v="0"/>
  </r>
  <r>
    <n v="50"/>
    <n v="8791"/>
    <n v="50"/>
    <x v="1"/>
    <s v="Sales"/>
    <d v="1975-04-15T00:00:00"/>
    <n v="22"/>
    <n v="174905"/>
    <x v="3"/>
  </r>
  <r>
    <n v="51"/>
    <n v="7925"/>
    <n v="44"/>
    <x v="0"/>
    <s v="Hr"/>
    <d v="1994-12-18T00:00:00"/>
    <n v="21"/>
    <n v="161581"/>
    <x v="4"/>
  </r>
  <r>
    <n v="52"/>
    <n v="9867"/>
    <n v="50"/>
    <x v="1"/>
    <s v="It"/>
    <d v="1987-10-22T00:00:00"/>
    <n v="27"/>
    <n v="210865"/>
    <x v="3"/>
  </r>
  <r>
    <n v="53"/>
    <n v="3086"/>
    <n v="46"/>
    <x v="1"/>
    <s v="It"/>
    <d v="2020-02-08T00:00:00"/>
    <n v="23"/>
    <n v="187209"/>
    <x v="4"/>
  </r>
  <r>
    <n v="54"/>
    <n v="2797"/>
    <n v="51"/>
    <x v="1"/>
    <s v="It"/>
    <d v="2013-11-07T00:00:00"/>
    <n v="27"/>
    <n v="216483"/>
    <x v="3"/>
  </r>
  <r>
    <n v="55"/>
    <n v="2514"/>
    <n v="63"/>
    <x v="0"/>
    <s v="It"/>
    <d v="2003-03-12T00:00:00"/>
    <n v="31"/>
    <n v="241732"/>
    <x v="0"/>
  </r>
  <r>
    <n v="56"/>
    <n v="5404"/>
    <n v="22"/>
    <x v="1"/>
    <s v="It"/>
    <d v="1974-05-21T00:00:00"/>
    <n v="13"/>
    <n v="100085"/>
    <x v="1"/>
  </r>
  <r>
    <n v="57"/>
    <n v="7609"/>
    <n v="48"/>
    <x v="0"/>
    <s v="Hr"/>
    <d v="1990-04-11T00:00:00"/>
    <n v="24"/>
    <n v="196599"/>
    <x v="4"/>
  </r>
  <r>
    <n v="58"/>
    <n v="4788"/>
    <n v="53"/>
    <x v="0"/>
    <s v="Sales"/>
    <d v="1987-06-20T00:00:00"/>
    <n v="25"/>
    <n v="203758"/>
    <x v="3"/>
  </r>
  <r>
    <n v="59"/>
    <n v="1607"/>
    <n v="59"/>
    <x v="1"/>
    <s v="It"/>
    <d v="1976-10-19T00:00:00"/>
    <n v="32"/>
    <n v="254771"/>
    <x v="3"/>
  </r>
  <r>
    <n v="60"/>
    <n v="4605"/>
    <n v="53"/>
    <x v="1"/>
    <s v="Finance"/>
    <d v="2008-09-18T00:00:00"/>
    <n v="28"/>
    <n v="221350"/>
    <x v="3"/>
  </r>
  <r>
    <n v="61"/>
    <n v="9897"/>
    <n v="60"/>
    <x v="0"/>
    <s v="Finance"/>
    <d v="2004-08-21T00:00:00"/>
    <n v="28"/>
    <n v="227840"/>
    <x v="0"/>
  </r>
  <r>
    <n v="62"/>
    <n v="6593"/>
    <n v="30"/>
    <x v="0"/>
    <s v="Finance"/>
    <d v="2008-09-24T00:00:00"/>
    <n v="15"/>
    <n v="118126"/>
    <x v="2"/>
  </r>
  <r>
    <n v="63"/>
    <n v="2340"/>
    <n v="32"/>
    <x v="0"/>
    <s v="Sales"/>
    <d v="1976-04-01T00:00:00"/>
    <n v="15"/>
    <n v="124811"/>
    <x v="2"/>
  </r>
  <r>
    <n v="64"/>
    <n v="5328"/>
    <n v="34"/>
    <x v="0"/>
    <s v="It"/>
    <d v="2005-06-25T00:00:00"/>
    <n v="17"/>
    <n v="138134"/>
    <x v="2"/>
  </r>
  <r>
    <n v="65"/>
    <n v="5037"/>
    <n v="36"/>
    <x v="0"/>
    <s v="Finance"/>
    <d v="2000-05-25T00:00:00"/>
    <n v="16"/>
    <n v="127124"/>
    <x v="2"/>
  </r>
  <r>
    <n v="66"/>
    <n v="4527"/>
    <n v="44"/>
    <x v="0"/>
    <s v="Sales"/>
    <d v="1976-05-08T00:00:00"/>
    <n v="19"/>
    <n v="151056"/>
    <x v="4"/>
  </r>
  <r>
    <n v="67"/>
    <n v="6286"/>
    <n v="40"/>
    <x v="0"/>
    <s v="Finance"/>
    <d v="2002-06-21T00:00:00"/>
    <n v="18"/>
    <n v="135177"/>
    <x v="4"/>
  </r>
  <r>
    <n v="68"/>
    <n v="3154"/>
    <n v="31"/>
    <x v="1"/>
    <s v="Marketing"/>
    <d v="1997-01-28T00:00:00"/>
    <n v="12"/>
    <n v="99214"/>
    <x v="2"/>
  </r>
  <r>
    <n v="69"/>
    <n v="9819"/>
    <n v="35"/>
    <x v="0"/>
    <s v="Sales"/>
    <d v="2019-08-04T00:00:00"/>
    <n v="17"/>
    <n v="133866"/>
    <x v="2"/>
  </r>
  <r>
    <n v="70"/>
    <n v="3438"/>
    <n v="32"/>
    <x v="1"/>
    <s v="It"/>
    <d v="1974-06-04T00:00:00"/>
    <n v="16"/>
    <n v="127570"/>
    <x v="2"/>
  </r>
  <r>
    <n v="71"/>
    <n v="8337"/>
    <n v="35"/>
    <x v="1"/>
    <s v="Hr"/>
    <d v="1991-05-11T00:00:00"/>
    <n v="19"/>
    <n v="140250"/>
    <x v="2"/>
  </r>
  <r>
    <n v="72"/>
    <n v="7233"/>
    <n v="51"/>
    <x v="0"/>
    <s v="Sales"/>
    <d v="1992-02-07T00:00:00"/>
    <n v="27"/>
    <n v="212800"/>
    <x v="3"/>
  </r>
  <r>
    <n v="73"/>
    <n v="7073"/>
    <n v="50"/>
    <x v="0"/>
    <s v="Hr"/>
    <d v="1992-09-04T00:00:00"/>
    <n v="23"/>
    <n v="191346"/>
    <x v="3"/>
  </r>
  <r>
    <n v="74"/>
    <n v="6850"/>
    <n v="36"/>
    <x v="1"/>
    <s v="Marketing"/>
    <d v="1997-03-24T00:00:00"/>
    <n v="20"/>
    <n v="160278"/>
    <x v="2"/>
  </r>
  <r>
    <n v="75"/>
    <n v="7191"/>
    <n v="52"/>
    <x v="1"/>
    <s v="Sales"/>
    <d v="1983-05-10T00:00:00"/>
    <n v="27"/>
    <n v="217985"/>
    <x v="3"/>
  </r>
  <r>
    <n v="76"/>
    <n v="5208"/>
    <n v="36"/>
    <x v="1"/>
    <s v="It"/>
    <d v="2022-12-16T00:00:00"/>
    <n v="20"/>
    <n v="172798"/>
    <x v="2"/>
  </r>
  <r>
    <n v="77"/>
    <n v="5116"/>
    <n v="26"/>
    <x v="0"/>
    <s v="It"/>
    <d v="1971-02-23T00:00:00"/>
    <n v="15"/>
    <n v="120869"/>
    <x v="1"/>
  </r>
  <r>
    <n v="78"/>
    <n v="6328"/>
    <n v="45"/>
    <x v="1"/>
    <s v="Sales"/>
    <d v="1980-02-29T00:00:00"/>
    <n v="23"/>
    <n v="186135"/>
    <x v="4"/>
  </r>
  <r>
    <n v="79"/>
    <n v="3538"/>
    <n v="27"/>
    <x v="0"/>
    <s v="Hr"/>
    <d v="2013-06-16T00:00:00"/>
    <n v="12"/>
    <n v="107313"/>
    <x v="1"/>
  </r>
  <r>
    <n v="80"/>
    <n v="5826"/>
    <n v="48"/>
    <x v="0"/>
    <s v="Hr"/>
    <d v="1974-11-01T00:00:00"/>
    <n v="23"/>
    <n v="189726"/>
    <x v="4"/>
  </r>
  <r>
    <n v="81"/>
    <n v="6108"/>
    <n v="45"/>
    <x v="1"/>
    <s v="Hr"/>
    <d v="2012-11-24T00:00:00"/>
    <n v="21"/>
    <n v="171530"/>
    <x v="4"/>
  </r>
  <r>
    <n v="82"/>
    <n v="2867"/>
    <n v="64"/>
    <x v="0"/>
    <s v="Marketing"/>
    <d v="2015-08-11T00:00:00"/>
    <n v="34"/>
    <n v="271935"/>
    <x v="0"/>
  </r>
  <r>
    <n v="83"/>
    <n v="4495"/>
    <n v="53"/>
    <x v="1"/>
    <s v="Marketing"/>
    <d v="1976-07-21T00:00:00"/>
    <n v="29"/>
    <n v="234900"/>
    <x v="3"/>
  </r>
  <r>
    <n v="84"/>
    <n v="9750"/>
    <n v="49"/>
    <x v="0"/>
    <s v="Finance"/>
    <d v="2008-09-26T00:00:00"/>
    <n v="23"/>
    <n v="181290"/>
    <x v="4"/>
  </r>
  <r>
    <n v="85"/>
    <n v="9243"/>
    <n v="60"/>
    <x v="0"/>
    <s v="Sales"/>
    <d v="1996-04-10T00:00:00"/>
    <n v="31"/>
    <n v="246555"/>
    <x v="0"/>
  </r>
  <r>
    <n v="86"/>
    <n v="8462"/>
    <n v="51"/>
    <x v="1"/>
    <s v="Finance"/>
    <d v="1997-04-13T00:00:00"/>
    <n v="24"/>
    <n v="191660"/>
    <x v="3"/>
  </r>
  <r>
    <n v="87"/>
    <n v="8247"/>
    <n v="22"/>
    <x v="1"/>
    <s v="Sales"/>
    <d v="2004-05-21T00:00:00"/>
    <n v="14"/>
    <n v="111511"/>
    <x v="1"/>
  </r>
  <r>
    <n v="88"/>
    <n v="3054"/>
    <n v="43"/>
    <x v="1"/>
    <s v="It"/>
    <d v="2020-11-15T00:00:00"/>
    <n v="19"/>
    <n v="148439"/>
    <x v="4"/>
  </r>
  <r>
    <n v="89"/>
    <n v="3988"/>
    <n v="31"/>
    <x v="1"/>
    <s v="Hr"/>
    <d v="1989-07-21T00:00:00"/>
    <n v="15"/>
    <n v="120884"/>
    <x v="2"/>
  </r>
  <r>
    <n v="90"/>
    <n v="3300"/>
    <n v="26"/>
    <x v="1"/>
    <s v="Sales"/>
    <d v="2025-10-01T00:00:00"/>
    <n v="12"/>
    <n v="94805"/>
    <x v="1"/>
  </r>
  <r>
    <n v="91"/>
    <n v="9343"/>
    <n v="27"/>
    <x v="0"/>
    <s v="Sales"/>
    <d v="1981-12-31T00:00:00"/>
    <n v="13"/>
    <n v="97135"/>
    <x v="1"/>
  </r>
  <r>
    <n v="92"/>
    <n v="4183"/>
    <n v="52"/>
    <x v="0"/>
    <s v="It"/>
    <d v="2006-04-28T00:00:00"/>
    <n v="29"/>
    <n v="220820"/>
    <x v="3"/>
  </r>
  <r>
    <n v="93"/>
    <n v="4933"/>
    <n v="31"/>
    <x v="1"/>
    <s v="Marketing"/>
    <d v="2013-12-21T00:00:00"/>
    <n v="14"/>
    <n v="118043"/>
    <x v="2"/>
  </r>
  <r>
    <n v="94"/>
    <n v="7374"/>
    <n v="52"/>
    <x v="0"/>
    <s v="Hr"/>
    <d v="2009-02-12T00:00:00"/>
    <n v="27"/>
    <n v="223315"/>
    <x v="3"/>
  </r>
  <r>
    <n v="95"/>
    <n v="1082"/>
    <n v="61"/>
    <x v="1"/>
    <s v="Finance"/>
    <d v="2004-01-02T00:00:00"/>
    <n v="30"/>
    <n v="246738"/>
    <x v="0"/>
  </r>
  <r>
    <n v="96"/>
    <n v="4204"/>
    <n v="52"/>
    <x v="0"/>
    <s v="Finance"/>
    <d v="2018-08-10T00:00:00"/>
    <n v="24"/>
    <n v="191082"/>
    <x v="3"/>
  </r>
  <r>
    <n v="97"/>
    <n v="9015"/>
    <n v="59"/>
    <x v="0"/>
    <s v="Finance"/>
    <d v="2017-08-07T00:00:00"/>
    <n v="28"/>
    <n v="225302"/>
    <x v="3"/>
  </r>
  <r>
    <n v="98"/>
    <n v="1706"/>
    <n v="40"/>
    <x v="0"/>
    <s v="It"/>
    <d v="2023-09-18T00:00:00"/>
    <n v="18"/>
    <n v="142093"/>
    <x v="4"/>
  </r>
  <r>
    <n v="99"/>
    <n v="3873"/>
    <n v="46"/>
    <x v="1"/>
    <s v="It"/>
    <d v="2005-07-08T00:00:00"/>
    <n v="19"/>
    <n v="156162"/>
    <x v="4"/>
  </r>
  <r>
    <n v="100"/>
    <n v="3229"/>
    <n v="35"/>
    <x v="1"/>
    <s v="Sales"/>
    <d v="2025-01-13T00:00:00"/>
    <n v="17"/>
    <n v="134816"/>
    <x v="2"/>
  </r>
  <r>
    <n v="101"/>
    <n v="6665"/>
    <n v="40"/>
    <x v="0"/>
    <s v="Hr"/>
    <d v="1985-08-29T00:00:00"/>
    <n v="15"/>
    <n v="122745"/>
    <x v="4"/>
  </r>
  <r>
    <n v="102"/>
    <n v="4680"/>
    <n v="40"/>
    <x v="1"/>
    <s v="Hr"/>
    <d v="1984-06-06T00:00:00"/>
    <n v="24"/>
    <n v="186453"/>
    <x v="4"/>
  </r>
  <r>
    <n v="103"/>
    <n v="1002"/>
    <n v="48"/>
    <x v="0"/>
    <s v="It"/>
    <d v="2013-07-13T00:00:00"/>
    <n v="25"/>
    <n v="199561"/>
    <x v="4"/>
  </r>
  <r>
    <n v="104"/>
    <n v="1137"/>
    <n v="54"/>
    <x v="1"/>
    <s v="Marketing"/>
    <d v="1991-04-21T00:00:00"/>
    <n v="25"/>
    <n v="204293"/>
    <x v="3"/>
  </r>
  <r>
    <n v="105"/>
    <n v="7922"/>
    <n v="58"/>
    <x v="1"/>
    <s v="Hr"/>
    <d v="1975-09-24T00:00:00"/>
    <n v="30"/>
    <n v="242531"/>
    <x v="3"/>
  </r>
  <r>
    <n v="106"/>
    <n v="3307"/>
    <n v="25"/>
    <x v="1"/>
    <s v="It"/>
    <d v="1987-05-06T00:00:00"/>
    <n v="12"/>
    <n v="103111"/>
    <x v="1"/>
  </r>
  <r>
    <n v="107"/>
    <n v="8235"/>
    <n v="53"/>
    <x v="1"/>
    <s v="Hr"/>
    <d v="1997-06-27T00:00:00"/>
    <n v="30"/>
    <n v="237496"/>
    <x v="3"/>
  </r>
  <r>
    <n v="108"/>
    <n v="9113"/>
    <n v="50"/>
    <x v="0"/>
    <s v="Sales"/>
    <d v="2022-08-10T00:00:00"/>
    <n v="24"/>
    <n v="193765"/>
    <x v="3"/>
  </r>
  <r>
    <n v="109"/>
    <n v="6545"/>
    <n v="63"/>
    <x v="0"/>
    <s v="Hr"/>
    <d v="1996-11-20T00:00:00"/>
    <n v="30"/>
    <n v="240281"/>
    <x v="0"/>
  </r>
  <r>
    <n v="110"/>
    <n v="4987"/>
    <n v="54"/>
    <x v="0"/>
    <s v="Finance"/>
    <d v="1978-08-21T00:00:00"/>
    <n v="22"/>
    <n v="176659"/>
    <x v="3"/>
  </r>
  <r>
    <n v="111"/>
    <n v="9111"/>
    <n v="58"/>
    <x v="1"/>
    <s v="It"/>
    <d v="1985-05-02T00:00:00"/>
    <n v="30"/>
    <n v="244973"/>
    <x v="3"/>
  </r>
  <r>
    <n v="112"/>
    <n v="1061"/>
    <n v="37"/>
    <x v="0"/>
    <s v="Sales"/>
    <d v="1984-10-06T00:00:00"/>
    <n v="20"/>
    <n v="160566"/>
    <x v="2"/>
  </r>
  <r>
    <n v="113"/>
    <n v="6101"/>
    <n v="43"/>
    <x v="1"/>
    <s v="It"/>
    <d v="2007-08-10T00:00:00"/>
    <n v="23"/>
    <n v="177312"/>
    <x v="4"/>
  </r>
  <r>
    <n v="114"/>
    <n v="5338"/>
    <n v="24"/>
    <x v="0"/>
    <s v="Marketing"/>
    <d v="2016-08-06T00:00:00"/>
    <n v="12"/>
    <n v="92967"/>
    <x v="1"/>
  </r>
  <r>
    <n v="115"/>
    <n v="3697"/>
    <n v="46"/>
    <x v="0"/>
    <s v="Marketing"/>
    <d v="2002-08-20T00:00:00"/>
    <n v="25"/>
    <n v="208044"/>
    <x v="4"/>
  </r>
  <r>
    <n v="116"/>
    <n v="6704"/>
    <n v="60"/>
    <x v="0"/>
    <s v="Finance"/>
    <d v="2010-01-12T00:00:00"/>
    <n v="29"/>
    <n v="225723"/>
    <x v="0"/>
  </r>
  <r>
    <n v="117"/>
    <n v="1819"/>
    <n v="61"/>
    <x v="0"/>
    <s v="It"/>
    <d v="2012-02-05T00:00:00"/>
    <n v="26"/>
    <n v="208426"/>
    <x v="0"/>
  </r>
  <r>
    <n v="118"/>
    <n v="4425"/>
    <n v="61"/>
    <x v="0"/>
    <s v="It"/>
    <d v="1978-10-23T00:00:00"/>
    <n v="35"/>
    <n v="279946"/>
    <x v="0"/>
  </r>
  <r>
    <n v="119"/>
    <n v="2499"/>
    <n v="29"/>
    <x v="1"/>
    <s v="Finance"/>
    <d v="2006-10-24T00:00:00"/>
    <n v="16"/>
    <n v="129970"/>
    <x v="1"/>
  </r>
  <r>
    <n v="120"/>
    <n v="4801"/>
    <n v="54"/>
    <x v="0"/>
    <s v="Hr"/>
    <d v="1985-04-10T00:00:00"/>
    <n v="28"/>
    <n v="225408"/>
    <x v="3"/>
  </r>
  <r>
    <n v="121"/>
    <n v="8001"/>
    <n v="32"/>
    <x v="0"/>
    <s v="It"/>
    <d v="2006-05-14T00:00:00"/>
    <n v="16"/>
    <n v="125760"/>
    <x v="2"/>
  </r>
  <r>
    <n v="122"/>
    <n v="5263"/>
    <n v="28"/>
    <x v="1"/>
    <s v="Sales"/>
    <d v="2006-05-04T00:00:00"/>
    <n v="12"/>
    <n v="92056"/>
    <x v="1"/>
  </r>
  <r>
    <n v="123"/>
    <n v="7486"/>
    <n v="45"/>
    <x v="1"/>
    <s v="It"/>
    <d v="2017-12-26T00:00:00"/>
    <n v="23"/>
    <n v="186546"/>
    <x v="4"/>
  </r>
  <r>
    <n v="124"/>
    <n v="3717"/>
    <n v="58"/>
    <x v="0"/>
    <s v="Sales"/>
    <d v="2020-05-06T00:00:00"/>
    <n v="26"/>
    <n v="215978"/>
    <x v="3"/>
  </r>
  <r>
    <n v="125"/>
    <n v="1861"/>
    <n v="48"/>
    <x v="1"/>
    <s v="Marketing"/>
    <d v="1979-04-07T00:00:00"/>
    <n v="25"/>
    <n v="185892"/>
    <x v="4"/>
  </r>
  <r>
    <n v="126"/>
    <n v="1204"/>
    <n v="40"/>
    <x v="0"/>
    <s v="Hr"/>
    <d v="1981-11-12T00:00:00"/>
    <n v="21"/>
    <n v="158986"/>
    <x v="4"/>
  </r>
  <r>
    <n v="127"/>
    <n v="8608"/>
    <n v="55"/>
    <x v="1"/>
    <s v="Finance"/>
    <d v="2018-03-05T00:00:00"/>
    <n v="26"/>
    <n v="202823"/>
    <x v="3"/>
  </r>
  <r>
    <n v="128"/>
    <n v="9278"/>
    <n v="56"/>
    <x v="0"/>
    <s v="Hr"/>
    <d v="1984-08-29T00:00:00"/>
    <n v="25"/>
    <n v="198549"/>
    <x v="3"/>
  </r>
  <r>
    <n v="129"/>
    <n v="1084"/>
    <n v="32"/>
    <x v="1"/>
    <s v="Sales"/>
    <d v="2018-04-20T00:00:00"/>
    <n v="17"/>
    <n v="142300"/>
    <x v="2"/>
  </r>
  <r>
    <n v="130"/>
    <n v="3305"/>
    <n v="63"/>
    <x v="1"/>
    <s v="It"/>
    <d v="2016-09-17T00:00:00"/>
    <n v="29"/>
    <n v="232577"/>
    <x v="0"/>
  </r>
  <r>
    <n v="131"/>
    <n v="1262"/>
    <n v="49"/>
    <x v="1"/>
    <s v="Finance"/>
    <d v="2003-05-02T00:00:00"/>
    <n v="24"/>
    <n v="196293"/>
    <x v="4"/>
  </r>
  <r>
    <n v="132"/>
    <n v="2478"/>
    <n v="40"/>
    <x v="0"/>
    <s v="Marketing"/>
    <d v="2010-06-04T00:00:00"/>
    <n v="23"/>
    <n v="185268"/>
    <x v="4"/>
  </r>
  <r>
    <n v="133"/>
    <n v="4357"/>
    <n v="41"/>
    <x v="0"/>
    <s v="Finance"/>
    <d v="2017-04-09T00:00:00"/>
    <n v="20"/>
    <n v="166636"/>
    <x v="4"/>
  </r>
  <r>
    <n v="134"/>
    <n v="1802"/>
    <n v="22"/>
    <x v="0"/>
    <s v="Finance"/>
    <d v="1989-05-10T00:00:00"/>
    <n v="12"/>
    <n v="94300"/>
    <x v="1"/>
  </r>
  <r>
    <n v="135"/>
    <n v="4666"/>
    <n v="49"/>
    <x v="1"/>
    <s v="Marketing"/>
    <d v="2014-08-07T00:00:00"/>
    <n v="25"/>
    <n v="198827"/>
    <x v="4"/>
  </r>
  <r>
    <n v="136"/>
    <n v="7327"/>
    <n v="44"/>
    <x v="1"/>
    <s v="Finance"/>
    <d v="1983-03-26T00:00:00"/>
    <n v="25"/>
    <n v="190600"/>
    <x v="4"/>
  </r>
  <r>
    <n v="137"/>
    <n v="5722"/>
    <n v="43"/>
    <x v="1"/>
    <s v="Hr"/>
    <d v="1983-08-25T00:00:00"/>
    <n v="24"/>
    <n v="187430"/>
    <x v="4"/>
  </r>
  <r>
    <n v="138"/>
    <n v="8172"/>
    <n v="45"/>
    <x v="0"/>
    <s v="Finance"/>
    <d v="2014-04-17T00:00:00"/>
    <n v="21"/>
    <n v="166573"/>
    <x v="4"/>
  </r>
  <r>
    <n v="139"/>
    <n v="2391"/>
    <n v="49"/>
    <x v="1"/>
    <s v="Hr"/>
    <d v="1990-11-04T00:00:00"/>
    <n v="22"/>
    <n v="176961"/>
    <x v="4"/>
  </r>
  <r>
    <n v="140"/>
    <n v="3536"/>
    <n v="54"/>
    <x v="1"/>
    <s v="It"/>
    <d v="2008-02-23T00:00:00"/>
    <n v="25"/>
    <n v="206014"/>
    <x v="3"/>
  </r>
  <r>
    <n v="141"/>
    <n v="7770"/>
    <n v="43"/>
    <x v="1"/>
    <s v="Sales"/>
    <d v="1975-10-27T00:00:00"/>
    <n v="21"/>
    <n v="167653"/>
    <x v="4"/>
  </r>
  <r>
    <n v="142"/>
    <n v="1571"/>
    <n v="34"/>
    <x v="0"/>
    <s v="It"/>
    <d v="2003-03-06T00:00:00"/>
    <n v="17"/>
    <n v="138491"/>
    <x v="2"/>
  </r>
  <r>
    <n v="143"/>
    <n v="2558"/>
    <n v="29"/>
    <x v="1"/>
    <s v="Marketing"/>
    <d v="1976-01-13T00:00:00"/>
    <n v="14"/>
    <n v="113663"/>
    <x v="1"/>
  </r>
  <r>
    <n v="144"/>
    <n v="1197"/>
    <n v="57"/>
    <x v="1"/>
    <s v="Sales"/>
    <d v="2006-05-02T00:00:00"/>
    <n v="25"/>
    <n v="195286"/>
    <x v="3"/>
  </r>
  <r>
    <n v="145"/>
    <n v="4842"/>
    <n v="55"/>
    <x v="1"/>
    <s v="Sales"/>
    <d v="1998-03-29T00:00:00"/>
    <n v="27"/>
    <n v="215637"/>
    <x v="3"/>
  </r>
  <r>
    <n v="146"/>
    <n v="1809"/>
    <n v="43"/>
    <x v="1"/>
    <s v="Finance"/>
    <d v="2001-07-06T00:00:00"/>
    <n v="21"/>
    <n v="170164"/>
    <x v="4"/>
  </r>
  <r>
    <n v="147"/>
    <n v="2304"/>
    <n v="57"/>
    <x v="0"/>
    <s v="Marketing"/>
    <d v="1991-09-13T00:00:00"/>
    <n v="30"/>
    <n v="240851"/>
    <x v="3"/>
  </r>
  <r>
    <n v="148"/>
    <n v="2759"/>
    <n v="24"/>
    <x v="0"/>
    <s v="It"/>
    <d v="2017-12-13T00:00:00"/>
    <n v="9"/>
    <n v="78650"/>
    <x v="1"/>
  </r>
  <r>
    <n v="149"/>
    <n v="8278"/>
    <n v="25"/>
    <x v="1"/>
    <s v="Sales"/>
    <d v="1984-09-11T00:00:00"/>
    <n v="13"/>
    <n v="101767"/>
    <x v="1"/>
  </r>
  <r>
    <n v="150"/>
    <n v="3797"/>
    <n v="57"/>
    <x v="0"/>
    <s v="Marketing"/>
    <d v="2000-03-18T00:00:00"/>
    <n v="30"/>
    <n v="237787"/>
    <x v="3"/>
  </r>
  <r>
    <n v="151"/>
    <n v="1475"/>
    <n v="33"/>
    <x v="0"/>
    <s v="Marketing"/>
    <d v="1978-08-17T00:00:00"/>
    <n v="15"/>
    <n v="120289"/>
    <x v="2"/>
  </r>
  <r>
    <n v="152"/>
    <n v="4165"/>
    <n v="59"/>
    <x v="1"/>
    <s v="Hr"/>
    <d v="1971-05-16T00:00:00"/>
    <n v="29"/>
    <n v="229854"/>
    <x v="3"/>
  </r>
  <r>
    <n v="153"/>
    <n v="3292"/>
    <n v="33"/>
    <x v="0"/>
    <s v="It"/>
    <d v="2017-07-07T00:00:00"/>
    <n v="16"/>
    <n v="140462"/>
    <x v="2"/>
  </r>
  <r>
    <n v="154"/>
    <n v="1740"/>
    <n v="35"/>
    <x v="1"/>
    <s v="Sales"/>
    <d v="2005-01-29T00:00:00"/>
    <n v="17"/>
    <n v="137966"/>
    <x v="2"/>
  </r>
  <r>
    <n v="155"/>
    <n v="5139"/>
    <n v="48"/>
    <x v="1"/>
    <s v="Hr"/>
    <d v="1984-04-19T00:00:00"/>
    <n v="26"/>
    <n v="198685"/>
    <x v="4"/>
  </r>
  <r>
    <n v="156"/>
    <n v="4522"/>
    <n v="31"/>
    <x v="0"/>
    <s v="Marketing"/>
    <d v="1997-03-28T00:00:00"/>
    <n v="13"/>
    <n v="97639"/>
    <x v="2"/>
  </r>
  <r>
    <n v="157"/>
    <n v="2227"/>
    <n v="51"/>
    <x v="1"/>
    <s v="Sales"/>
    <d v="1977-09-24T00:00:00"/>
    <n v="27"/>
    <n v="213234"/>
    <x v="3"/>
  </r>
  <r>
    <n v="158"/>
    <n v="1859"/>
    <n v="58"/>
    <x v="1"/>
    <s v="Finance"/>
    <d v="2016-06-02T00:00:00"/>
    <n v="27"/>
    <n v="223033"/>
    <x v="3"/>
  </r>
  <r>
    <n v="159"/>
    <n v="9580"/>
    <n v="57"/>
    <x v="0"/>
    <s v="Finance"/>
    <d v="2002-09-03T00:00:00"/>
    <n v="30"/>
    <n v="234249"/>
    <x v="3"/>
  </r>
  <r>
    <n v="160"/>
    <n v="7166"/>
    <n v="45"/>
    <x v="1"/>
    <s v="Hr"/>
    <d v="1975-08-10T00:00:00"/>
    <n v="21"/>
    <n v="172147"/>
    <x v="4"/>
  </r>
  <r>
    <n v="161"/>
    <n v="2383"/>
    <n v="35"/>
    <x v="1"/>
    <s v="Hr"/>
    <d v="1973-08-21T00:00:00"/>
    <n v="14"/>
    <n v="110715"/>
    <x v="2"/>
  </r>
  <r>
    <n v="162"/>
    <n v="7950"/>
    <n v="50"/>
    <x v="1"/>
    <s v="It"/>
    <d v="1992-03-05T00:00:00"/>
    <n v="23"/>
    <n v="181074"/>
    <x v="3"/>
  </r>
  <r>
    <n v="163"/>
    <n v="5231"/>
    <n v="48"/>
    <x v="1"/>
    <s v="It"/>
    <d v="2009-12-18T00:00:00"/>
    <n v="22"/>
    <n v="172103"/>
    <x v="4"/>
  </r>
  <r>
    <n v="164"/>
    <n v="3709"/>
    <n v="32"/>
    <x v="0"/>
    <s v="It"/>
    <d v="1982-02-01T00:00:00"/>
    <n v="15"/>
    <n v="121991"/>
    <x v="2"/>
  </r>
  <r>
    <n v="165"/>
    <n v="5077"/>
    <n v="49"/>
    <x v="0"/>
    <s v="Finance"/>
    <d v="1977-11-25T00:00:00"/>
    <n v="20"/>
    <n v="174787"/>
    <x v="4"/>
  </r>
  <r>
    <n v="166"/>
    <n v="8159"/>
    <n v="52"/>
    <x v="0"/>
    <s v="It"/>
    <d v="2006-09-27T00:00:00"/>
    <n v="25"/>
    <n v="200675"/>
    <x v="3"/>
  </r>
  <r>
    <n v="167"/>
    <n v="2327"/>
    <n v="35"/>
    <x v="0"/>
    <s v="Hr"/>
    <d v="1972-05-21T00:00:00"/>
    <n v="17"/>
    <n v="144719"/>
    <x v="2"/>
  </r>
  <r>
    <n v="168"/>
    <n v="8869"/>
    <n v="51"/>
    <x v="0"/>
    <s v="Marketing"/>
    <d v="2008-09-27T00:00:00"/>
    <n v="25"/>
    <n v="198755"/>
    <x v="3"/>
  </r>
  <r>
    <n v="169"/>
    <n v="1184"/>
    <n v="44"/>
    <x v="1"/>
    <s v="Hr"/>
    <d v="1998-08-05T00:00:00"/>
    <n v="19"/>
    <n v="150320"/>
    <x v="4"/>
  </r>
  <r>
    <n v="170"/>
    <n v="5290"/>
    <n v="52"/>
    <x v="1"/>
    <s v="Marketing"/>
    <d v="1983-07-26T00:00:00"/>
    <n v="25"/>
    <n v="196697"/>
    <x v="3"/>
  </r>
  <r>
    <n v="171"/>
    <n v="3041"/>
    <n v="29"/>
    <x v="1"/>
    <s v="Finance"/>
    <d v="1982-12-19T00:00:00"/>
    <n v="16"/>
    <n v="133598"/>
    <x v="1"/>
  </r>
  <r>
    <n v="172"/>
    <n v="3995"/>
    <n v="38"/>
    <x v="0"/>
    <s v="Hr"/>
    <d v="1997-05-31T00:00:00"/>
    <n v="18"/>
    <n v="152005"/>
    <x v="2"/>
  </r>
  <r>
    <n v="173"/>
    <n v="3870"/>
    <n v="30"/>
    <x v="1"/>
    <s v="It"/>
    <d v="1989-04-04T00:00:00"/>
    <n v="17"/>
    <n v="127810"/>
    <x v="2"/>
  </r>
  <r>
    <n v="174"/>
    <n v="7949"/>
    <n v="59"/>
    <x v="0"/>
    <s v="Hr"/>
    <d v="1995-09-29T00:00:00"/>
    <n v="31"/>
    <n v="245029"/>
    <x v="3"/>
  </r>
  <r>
    <n v="175"/>
    <n v="3635"/>
    <n v="40"/>
    <x v="1"/>
    <s v="Sales"/>
    <d v="2020-06-12T00:00:00"/>
    <n v="20"/>
    <n v="159567"/>
    <x v="4"/>
  </r>
  <r>
    <n v="176"/>
    <n v="5679"/>
    <n v="38"/>
    <x v="1"/>
    <s v="Marketing"/>
    <d v="1991-01-17T00:00:00"/>
    <n v="20"/>
    <n v="165488"/>
    <x v="2"/>
  </r>
  <r>
    <n v="177"/>
    <n v="5525"/>
    <n v="36"/>
    <x v="0"/>
    <s v="Marketing"/>
    <d v="2004-03-13T00:00:00"/>
    <n v="18"/>
    <n v="144373"/>
    <x v="2"/>
  </r>
  <r>
    <n v="178"/>
    <n v="9645"/>
    <n v="52"/>
    <x v="0"/>
    <s v="Finance"/>
    <d v="1981-06-04T00:00:00"/>
    <n v="25"/>
    <n v="209113"/>
    <x v="3"/>
  </r>
  <r>
    <n v="179"/>
    <n v="9968"/>
    <n v="62"/>
    <x v="1"/>
    <s v="It"/>
    <d v="2005-01-28T00:00:00"/>
    <n v="29"/>
    <n v="230159"/>
    <x v="0"/>
  </r>
  <r>
    <n v="180"/>
    <n v="3953"/>
    <n v="62"/>
    <x v="1"/>
    <s v="Marketing"/>
    <d v="2018-09-20T00:00:00"/>
    <n v="32"/>
    <n v="242948"/>
    <x v="0"/>
  </r>
  <r>
    <n v="181"/>
    <n v="4758"/>
    <n v="42"/>
    <x v="0"/>
    <s v="Hr"/>
    <d v="2002-07-21T00:00:00"/>
    <n v="22"/>
    <n v="181627"/>
    <x v="4"/>
  </r>
  <r>
    <n v="182"/>
    <n v="7427"/>
    <n v="48"/>
    <x v="0"/>
    <s v="It"/>
    <d v="1988-06-25T00:00:00"/>
    <n v="24"/>
    <n v="185708"/>
    <x v="4"/>
  </r>
  <r>
    <n v="183"/>
    <n v="8999"/>
    <n v="28"/>
    <x v="1"/>
    <s v="Marketing"/>
    <d v="2016-11-10T00:00:00"/>
    <n v="14"/>
    <n v="111947"/>
    <x v="1"/>
  </r>
  <r>
    <n v="184"/>
    <n v="7658"/>
    <n v="53"/>
    <x v="0"/>
    <s v="It"/>
    <d v="1973-02-05T00:00:00"/>
    <n v="26"/>
    <n v="201058"/>
    <x v="3"/>
  </r>
  <r>
    <n v="185"/>
    <n v="4734"/>
    <n v="42"/>
    <x v="1"/>
    <s v="Marketing"/>
    <d v="1993-12-13T00:00:00"/>
    <n v="21"/>
    <n v="168451"/>
    <x v="4"/>
  </r>
  <r>
    <n v="186"/>
    <n v="7336"/>
    <n v="22"/>
    <x v="1"/>
    <s v="Sales"/>
    <d v="1995-04-25T00:00:00"/>
    <n v="8"/>
    <n v="57732"/>
    <x v="1"/>
  </r>
  <r>
    <n v="187"/>
    <n v="4024"/>
    <n v="46"/>
    <x v="1"/>
    <s v="Hr"/>
    <d v="2007-03-28T00:00:00"/>
    <n v="25"/>
    <n v="197413"/>
    <x v="4"/>
  </r>
  <r>
    <n v="188"/>
    <n v="7752"/>
    <n v="30"/>
    <x v="0"/>
    <s v="Marketing"/>
    <d v="1974-08-31T00:00:00"/>
    <n v="16"/>
    <n v="121722"/>
    <x v="2"/>
  </r>
  <r>
    <n v="189"/>
    <n v="9981"/>
    <n v="30"/>
    <x v="1"/>
    <s v="Hr"/>
    <d v="1981-05-27T00:00:00"/>
    <n v="18"/>
    <n v="152895"/>
    <x v="2"/>
  </r>
  <r>
    <n v="190"/>
    <n v="2003"/>
    <n v="30"/>
    <x v="0"/>
    <s v="Finance"/>
    <d v="2012-06-21T00:00:00"/>
    <n v="14"/>
    <n v="117925"/>
    <x v="2"/>
  </r>
  <r>
    <n v="191"/>
    <n v="9689"/>
    <n v="56"/>
    <x v="1"/>
    <s v="Hr"/>
    <d v="1992-05-02T00:00:00"/>
    <n v="24"/>
    <n v="193844"/>
    <x v="3"/>
  </r>
  <r>
    <n v="192"/>
    <n v="2869"/>
    <n v="30"/>
    <x v="1"/>
    <s v="It"/>
    <d v="1971-09-03T00:00:00"/>
    <n v="14"/>
    <n v="121879"/>
    <x v="2"/>
  </r>
  <r>
    <n v="193"/>
    <n v="9133"/>
    <n v="41"/>
    <x v="1"/>
    <s v="Marketing"/>
    <d v="2005-09-11T00:00:00"/>
    <n v="22"/>
    <n v="176397"/>
    <x v="4"/>
  </r>
  <r>
    <n v="194"/>
    <n v="5618"/>
    <n v="58"/>
    <x v="1"/>
    <s v="It"/>
    <d v="1992-01-06T00:00:00"/>
    <n v="31"/>
    <n v="250658"/>
    <x v="3"/>
  </r>
  <r>
    <n v="195"/>
    <n v="2310"/>
    <n v="47"/>
    <x v="0"/>
    <s v="Hr"/>
    <d v="1981-12-03T00:00:00"/>
    <n v="22"/>
    <n v="176752"/>
    <x v="4"/>
  </r>
  <r>
    <n v="196"/>
    <n v="9025"/>
    <n v="32"/>
    <x v="1"/>
    <s v="Marketing"/>
    <d v="2013-05-27T00:00:00"/>
    <n v="15"/>
    <n v="123319"/>
    <x v="2"/>
  </r>
  <r>
    <n v="197"/>
    <n v="2227"/>
    <n v="60"/>
    <x v="1"/>
    <s v="Marketing"/>
    <d v="2022-04-26T00:00:00"/>
    <n v="32"/>
    <n v="258573"/>
    <x v="0"/>
  </r>
  <r>
    <n v="198"/>
    <n v="2996"/>
    <n v="42"/>
    <x v="0"/>
    <s v="Finance"/>
    <d v="1981-02-21T00:00:00"/>
    <n v="19"/>
    <n v="150946"/>
    <x v="4"/>
  </r>
  <r>
    <n v="199"/>
    <n v="3003"/>
    <n v="25"/>
    <x v="1"/>
    <s v="Hr"/>
    <d v="2023-09-28T00:00:00"/>
    <n v="14"/>
    <n v="114361"/>
    <x v="1"/>
  </r>
  <r>
    <n v="200"/>
    <n v="7608"/>
    <n v="63"/>
    <x v="1"/>
    <s v="It"/>
    <d v="1989-12-19T00:00:00"/>
    <n v="32"/>
    <n v="257944"/>
    <x v="0"/>
  </r>
  <r>
    <n v="201"/>
    <n v="1121"/>
    <n v="22"/>
    <x v="0"/>
    <s v="It"/>
    <d v="1983-08-02T00:00:00"/>
    <n v="12"/>
    <n v="91127"/>
    <x v="1"/>
  </r>
  <r>
    <n v="202"/>
    <n v="1838"/>
    <n v="64"/>
    <x v="1"/>
    <s v="Hr"/>
    <d v="2013-12-24T00:00:00"/>
    <n v="34"/>
    <n v="273400"/>
    <x v="0"/>
  </r>
  <r>
    <n v="203"/>
    <n v="6586"/>
    <n v="46"/>
    <x v="1"/>
    <s v="Hr"/>
    <d v="1973-07-08T00:00:00"/>
    <n v="25"/>
    <n v="196459"/>
    <x v="4"/>
  </r>
  <r>
    <n v="204"/>
    <n v="4148"/>
    <n v="34"/>
    <x v="0"/>
    <s v="Marketing"/>
    <d v="2014-11-10T00:00:00"/>
    <n v="18"/>
    <n v="132705"/>
    <x v="2"/>
  </r>
  <r>
    <n v="205"/>
    <n v="6227"/>
    <n v="61"/>
    <x v="1"/>
    <s v="Sales"/>
    <d v="2005-06-10T00:00:00"/>
    <n v="24"/>
    <n v="192494"/>
    <x v="0"/>
  </r>
  <r>
    <n v="206"/>
    <n v="6663"/>
    <n v="38"/>
    <x v="1"/>
    <s v="Marketing"/>
    <d v="1991-10-14T00:00:00"/>
    <n v="21"/>
    <n v="164835"/>
    <x v="2"/>
  </r>
  <r>
    <n v="207"/>
    <n v="9650"/>
    <n v="33"/>
    <x v="0"/>
    <s v="Finance"/>
    <d v="1976-11-21T00:00:00"/>
    <n v="15"/>
    <n v="126137"/>
    <x v="2"/>
  </r>
  <r>
    <n v="208"/>
    <n v="6929"/>
    <n v="51"/>
    <x v="1"/>
    <s v="Hr"/>
    <d v="1977-02-09T00:00:00"/>
    <n v="25"/>
    <n v="200225"/>
    <x v="3"/>
  </r>
  <r>
    <n v="209"/>
    <n v="2863"/>
    <n v="46"/>
    <x v="0"/>
    <s v="Finance"/>
    <d v="2009-02-13T00:00:00"/>
    <n v="25"/>
    <n v="195891"/>
    <x v="4"/>
  </r>
  <r>
    <n v="210"/>
    <n v="8673"/>
    <n v="44"/>
    <x v="1"/>
    <s v="Marketing"/>
    <d v="2023-06-16T00:00:00"/>
    <n v="20"/>
    <n v="156207"/>
    <x v="4"/>
  </r>
  <r>
    <n v="211"/>
    <n v="2820"/>
    <n v="28"/>
    <x v="1"/>
    <s v="Finance"/>
    <d v="2018-04-28T00:00:00"/>
    <n v="18"/>
    <n v="135734"/>
    <x v="1"/>
  </r>
  <r>
    <n v="212"/>
    <n v="6260"/>
    <n v="23"/>
    <x v="0"/>
    <s v="Sales"/>
    <d v="2024-03-16T00:00:00"/>
    <n v="14"/>
    <n v="109179"/>
    <x v="1"/>
  </r>
  <r>
    <n v="213"/>
    <n v="5238"/>
    <n v="48"/>
    <x v="0"/>
    <s v="Sales"/>
    <d v="1999-03-24T00:00:00"/>
    <n v="25"/>
    <n v="197005"/>
    <x v="4"/>
  </r>
  <r>
    <n v="214"/>
    <n v="1284"/>
    <n v="28"/>
    <x v="0"/>
    <s v="Sales"/>
    <d v="2023-05-23T00:00:00"/>
    <n v="13"/>
    <n v="89207"/>
    <x v="1"/>
  </r>
  <r>
    <n v="215"/>
    <n v="3247"/>
    <n v="34"/>
    <x v="1"/>
    <s v="Finance"/>
    <d v="1980-11-24T00:00:00"/>
    <n v="16"/>
    <n v="138009"/>
    <x v="2"/>
  </r>
  <r>
    <n v="216"/>
    <n v="1541"/>
    <n v="62"/>
    <x v="1"/>
    <s v="It"/>
    <d v="2004-12-01T00:00:00"/>
    <n v="28"/>
    <n v="233480"/>
    <x v="0"/>
  </r>
  <r>
    <n v="217"/>
    <n v="5004"/>
    <n v="57"/>
    <x v="1"/>
    <s v="Finance"/>
    <d v="2014-05-09T00:00:00"/>
    <n v="26"/>
    <n v="206244"/>
    <x v="3"/>
  </r>
  <r>
    <n v="218"/>
    <n v="2696"/>
    <n v="56"/>
    <x v="1"/>
    <s v="Finance"/>
    <d v="1999-01-17T00:00:00"/>
    <n v="26"/>
    <n v="207865"/>
    <x v="3"/>
  </r>
  <r>
    <n v="219"/>
    <n v="6407"/>
    <n v="43"/>
    <x v="1"/>
    <s v="It"/>
    <d v="1978-07-18T00:00:00"/>
    <n v="21"/>
    <n v="160057"/>
    <x v="4"/>
  </r>
  <r>
    <n v="220"/>
    <n v="2699"/>
    <n v="40"/>
    <x v="1"/>
    <s v="Finance"/>
    <d v="2022-02-17T00:00:00"/>
    <n v="16"/>
    <n v="135082"/>
    <x v="4"/>
  </r>
  <r>
    <n v="221"/>
    <n v="9383"/>
    <n v="57"/>
    <x v="0"/>
    <s v="Finance"/>
    <d v="2003-04-16T00:00:00"/>
    <n v="25"/>
    <n v="207482"/>
    <x v="3"/>
  </r>
  <r>
    <n v="222"/>
    <n v="2577"/>
    <n v="39"/>
    <x v="0"/>
    <s v="Hr"/>
    <d v="2021-10-06T00:00:00"/>
    <n v="19"/>
    <n v="144587"/>
    <x v="2"/>
  </r>
  <r>
    <n v="223"/>
    <n v="7746"/>
    <n v="41"/>
    <x v="1"/>
    <s v="Sales"/>
    <d v="1976-07-29T00:00:00"/>
    <n v="22"/>
    <n v="179459"/>
    <x v="4"/>
  </r>
  <r>
    <n v="224"/>
    <n v="5622"/>
    <n v="59"/>
    <x v="0"/>
    <s v="It"/>
    <d v="1979-12-07T00:00:00"/>
    <n v="30"/>
    <n v="235895"/>
    <x v="3"/>
  </r>
  <r>
    <n v="225"/>
    <n v="4002"/>
    <n v="26"/>
    <x v="0"/>
    <s v="Hr"/>
    <d v="2006-07-02T00:00:00"/>
    <n v="17"/>
    <n v="134299"/>
    <x v="1"/>
  </r>
  <r>
    <n v="226"/>
    <n v="1643"/>
    <n v="34"/>
    <x v="1"/>
    <s v="Sales"/>
    <d v="1978-04-04T00:00:00"/>
    <n v="17"/>
    <n v="134991"/>
    <x v="2"/>
  </r>
  <r>
    <n v="227"/>
    <n v="1459"/>
    <n v="26"/>
    <x v="0"/>
    <s v="Sales"/>
    <d v="2020-07-17T00:00:00"/>
    <n v="11"/>
    <n v="88841"/>
    <x v="1"/>
  </r>
  <r>
    <n v="228"/>
    <n v="3972"/>
    <n v="44"/>
    <x v="0"/>
    <s v="Marketing"/>
    <d v="2024-06-09T00:00:00"/>
    <n v="23"/>
    <n v="184491"/>
    <x v="4"/>
  </r>
  <r>
    <n v="229"/>
    <n v="2714"/>
    <n v="43"/>
    <x v="1"/>
    <s v="Sales"/>
    <d v="1996-08-01T00:00:00"/>
    <n v="20"/>
    <n v="154542"/>
    <x v="4"/>
  </r>
  <r>
    <n v="230"/>
    <n v="5785"/>
    <n v="42"/>
    <x v="0"/>
    <s v="Marketing"/>
    <d v="2007-09-22T00:00:00"/>
    <n v="20"/>
    <n v="158115"/>
    <x v="4"/>
  </r>
  <r>
    <n v="231"/>
    <n v="5746"/>
    <n v="36"/>
    <x v="0"/>
    <s v="Marketing"/>
    <d v="1988-02-24T00:00:00"/>
    <n v="14"/>
    <n v="113899"/>
    <x v="2"/>
  </r>
  <r>
    <n v="232"/>
    <n v="9400"/>
    <n v="25"/>
    <x v="0"/>
    <s v="Sales"/>
    <d v="1997-02-12T00:00:00"/>
    <n v="10"/>
    <n v="85343"/>
    <x v="1"/>
  </r>
  <r>
    <n v="233"/>
    <n v="4676"/>
    <n v="36"/>
    <x v="1"/>
    <s v="Sales"/>
    <d v="1972-06-01T00:00:00"/>
    <n v="18"/>
    <n v="139873"/>
    <x v="2"/>
  </r>
  <r>
    <n v="234"/>
    <n v="9846"/>
    <n v="61"/>
    <x v="0"/>
    <s v="Sales"/>
    <d v="1980-11-08T00:00:00"/>
    <n v="30"/>
    <n v="246725"/>
    <x v="0"/>
  </r>
  <r>
    <n v="235"/>
    <n v="9108"/>
    <n v="57"/>
    <x v="0"/>
    <s v="Sales"/>
    <d v="2012-05-05T00:00:00"/>
    <n v="27"/>
    <n v="226201"/>
    <x v="3"/>
  </r>
  <r>
    <n v="236"/>
    <n v="3158"/>
    <n v="51"/>
    <x v="1"/>
    <s v="Finance"/>
    <d v="2010-06-18T00:00:00"/>
    <n v="27"/>
    <n v="212105"/>
    <x v="3"/>
  </r>
  <r>
    <n v="237"/>
    <n v="7361"/>
    <n v="35"/>
    <x v="0"/>
    <s v="Marketing"/>
    <d v="1972-07-15T00:00:00"/>
    <n v="18"/>
    <n v="149179"/>
    <x v="2"/>
  </r>
  <r>
    <n v="238"/>
    <n v="1959"/>
    <n v="36"/>
    <x v="0"/>
    <s v="Sales"/>
    <d v="1970-02-07T00:00:00"/>
    <n v="15"/>
    <n v="115898"/>
    <x v="2"/>
  </r>
  <r>
    <n v="239"/>
    <n v="9340"/>
    <n v="64"/>
    <x v="1"/>
    <s v="Sales"/>
    <d v="1981-04-22T00:00:00"/>
    <n v="30"/>
    <n v="245207"/>
    <x v="0"/>
  </r>
  <r>
    <n v="240"/>
    <n v="9605"/>
    <n v="48"/>
    <x v="0"/>
    <s v="Sales"/>
    <d v="1974-12-27T00:00:00"/>
    <n v="21"/>
    <n v="163924"/>
    <x v="4"/>
  </r>
  <r>
    <n v="241"/>
    <n v="3361"/>
    <n v="46"/>
    <x v="0"/>
    <s v="Marketing"/>
    <d v="1979-02-17T00:00:00"/>
    <n v="22"/>
    <n v="172224"/>
    <x v="4"/>
  </r>
  <r>
    <n v="242"/>
    <n v="4662"/>
    <n v="38"/>
    <x v="1"/>
    <s v="Hr"/>
    <d v="2006-06-26T00:00:00"/>
    <n v="19"/>
    <n v="144990"/>
    <x v="2"/>
  </r>
  <r>
    <n v="243"/>
    <n v="4844"/>
    <n v="47"/>
    <x v="1"/>
    <s v="Sales"/>
    <d v="2001-06-10T00:00:00"/>
    <n v="22"/>
    <n v="170676"/>
    <x v="4"/>
  </r>
  <r>
    <n v="244"/>
    <n v="6788"/>
    <n v="39"/>
    <x v="1"/>
    <s v="Marketing"/>
    <d v="2025-09-29T00:00:00"/>
    <n v="22"/>
    <n v="181837"/>
    <x v="2"/>
  </r>
  <r>
    <n v="245"/>
    <n v="4450"/>
    <n v="42"/>
    <x v="0"/>
    <s v="It"/>
    <d v="1991-06-26T00:00:00"/>
    <n v="18"/>
    <n v="133509"/>
    <x v="4"/>
  </r>
  <r>
    <n v="246"/>
    <n v="9076"/>
    <n v="58"/>
    <x v="0"/>
    <s v="Hr"/>
    <d v="1985-05-01T00:00:00"/>
    <n v="29"/>
    <n v="234402"/>
    <x v="3"/>
  </r>
  <r>
    <n v="247"/>
    <n v="8936"/>
    <n v="46"/>
    <x v="0"/>
    <s v="Marketing"/>
    <d v="2005-01-08T00:00:00"/>
    <n v="20"/>
    <n v="165971"/>
    <x v="4"/>
  </r>
  <r>
    <n v="248"/>
    <n v="3578"/>
    <n v="31"/>
    <x v="0"/>
    <s v="It"/>
    <d v="1994-01-27T00:00:00"/>
    <n v="13"/>
    <n v="105359"/>
    <x v="2"/>
  </r>
  <r>
    <n v="249"/>
    <n v="5624"/>
    <n v="22"/>
    <x v="1"/>
    <s v="It"/>
    <d v="1983-02-17T00:00:00"/>
    <n v="13"/>
    <n v="94383"/>
    <x v="1"/>
  </r>
  <r>
    <n v="250"/>
    <n v="3793"/>
    <n v="51"/>
    <x v="0"/>
    <s v="It"/>
    <d v="2023-03-01T00:00:00"/>
    <n v="24"/>
    <n v="198528"/>
    <x v="3"/>
  </r>
  <r>
    <n v="251"/>
    <n v="1804"/>
    <n v="62"/>
    <x v="1"/>
    <s v="It"/>
    <d v="2005-11-01T00:00:00"/>
    <n v="31"/>
    <n v="242369"/>
    <x v="0"/>
  </r>
  <r>
    <n v="252"/>
    <n v="5169"/>
    <n v="52"/>
    <x v="1"/>
    <s v="It"/>
    <d v="2008-09-14T00:00:00"/>
    <n v="23"/>
    <n v="182226"/>
    <x v="3"/>
  </r>
  <r>
    <n v="253"/>
    <n v="7658"/>
    <n v="27"/>
    <x v="0"/>
    <s v="Hr"/>
    <d v="1996-07-19T00:00:00"/>
    <n v="11"/>
    <n v="88117"/>
    <x v="1"/>
  </r>
  <r>
    <n v="254"/>
    <n v="3417"/>
    <n v="54"/>
    <x v="1"/>
    <s v="Marketing"/>
    <d v="2002-09-15T00:00:00"/>
    <n v="30"/>
    <n v="242515"/>
    <x v="3"/>
  </r>
  <r>
    <n v="255"/>
    <n v="4801"/>
    <n v="62"/>
    <x v="0"/>
    <s v="Finance"/>
    <d v="2009-11-13T00:00:00"/>
    <n v="35"/>
    <n v="281861"/>
    <x v="0"/>
  </r>
  <r>
    <n v="256"/>
    <n v="2427"/>
    <n v="61"/>
    <x v="0"/>
    <s v="It"/>
    <d v="1975-09-06T00:00:00"/>
    <n v="31"/>
    <n v="242118"/>
    <x v="0"/>
  </r>
  <r>
    <n v="257"/>
    <n v="4976"/>
    <n v="48"/>
    <x v="1"/>
    <s v="Sales"/>
    <d v="2009-03-11T00:00:00"/>
    <n v="26"/>
    <n v="209490"/>
    <x v="4"/>
  </r>
  <r>
    <n v="258"/>
    <n v="2090"/>
    <n v="26"/>
    <x v="0"/>
    <s v="It"/>
    <d v="2010-09-17T00:00:00"/>
    <n v="11"/>
    <n v="89796"/>
    <x v="1"/>
  </r>
  <r>
    <n v="259"/>
    <n v="8575"/>
    <n v="41"/>
    <x v="0"/>
    <s v="Finance"/>
    <d v="1991-03-26T00:00:00"/>
    <n v="17"/>
    <n v="133309"/>
    <x v="4"/>
  </r>
  <r>
    <n v="260"/>
    <n v="6820"/>
    <n v="61"/>
    <x v="0"/>
    <s v="It"/>
    <d v="1989-02-27T00:00:00"/>
    <n v="30"/>
    <n v="242055"/>
    <x v="0"/>
  </r>
  <r>
    <n v="261"/>
    <n v="4433"/>
    <n v="59"/>
    <x v="0"/>
    <s v="Marketing"/>
    <d v="1979-01-14T00:00:00"/>
    <n v="27"/>
    <n v="216452"/>
    <x v="3"/>
  </r>
  <r>
    <n v="262"/>
    <n v="2245"/>
    <n v="49"/>
    <x v="0"/>
    <s v="Sales"/>
    <d v="1991-03-09T00:00:00"/>
    <n v="23"/>
    <n v="175322"/>
    <x v="4"/>
  </r>
  <r>
    <n v="263"/>
    <n v="9271"/>
    <n v="41"/>
    <x v="1"/>
    <s v="Marketing"/>
    <d v="1970-07-27T00:00:00"/>
    <n v="18"/>
    <n v="143008"/>
    <x v="4"/>
  </r>
  <r>
    <n v="264"/>
    <n v="9654"/>
    <n v="42"/>
    <x v="1"/>
    <s v="Sales"/>
    <d v="2023-11-19T00:00:00"/>
    <n v="23"/>
    <n v="188585"/>
    <x v="4"/>
  </r>
  <r>
    <n v="265"/>
    <n v="8985"/>
    <n v="40"/>
    <x v="1"/>
    <s v="It"/>
    <d v="1984-08-02T00:00:00"/>
    <n v="22"/>
    <n v="170616"/>
    <x v="4"/>
  </r>
  <r>
    <n v="266"/>
    <n v="2461"/>
    <n v="29"/>
    <x v="1"/>
    <s v="Hr"/>
    <d v="2015-07-19T00:00:00"/>
    <n v="10"/>
    <n v="76240"/>
    <x v="1"/>
  </r>
  <r>
    <n v="267"/>
    <n v="3151"/>
    <n v="33"/>
    <x v="1"/>
    <s v="Hr"/>
    <d v="1993-12-06T00:00:00"/>
    <n v="15"/>
    <n v="126615"/>
    <x v="2"/>
  </r>
  <r>
    <n v="268"/>
    <n v="7639"/>
    <n v="56"/>
    <x v="0"/>
    <s v="Marketing"/>
    <d v="1970-09-21T00:00:00"/>
    <n v="28"/>
    <n v="229698"/>
    <x v="3"/>
  </r>
  <r>
    <n v="269"/>
    <n v="5916"/>
    <n v="56"/>
    <x v="0"/>
    <s v="It"/>
    <d v="1992-05-08T00:00:00"/>
    <n v="24"/>
    <n v="187784"/>
    <x v="3"/>
  </r>
  <r>
    <n v="270"/>
    <n v="9431"/>
    <n v="36"/>
    <x v="1"/>
    <s v="Finance"/>
    <d v="2010-05-19T00:00:00"/>
    <n v="16"/>
    <n v="138129"/>
    <x v="2"/>
  </r>
  <r>
    <n v="271"/>
    <n v="3881"/>
    <n v="23"/>
    <x v="1"/>
    <s v="It"/>
    <d v="1972-02-07T00:00:00"/>
    <n v="9"/>
    <n v="67144"/>
    <x v="1"/>
  </r>
  <r>
    <n v="272"/>
    <n v="4413"/>
    <n v="64"/>
    <x v="0"/>
    <s v="Marketing"/>
    <d v="2005-04-27T00:00:00"/>
    <n v="29"/>
    <n v="239949"/>
    <x v="0"/>
  </r>
  <r>
    <n v="273"/>
    <n v="6996"/>
    <n v="50"/>
    <x v="1"/>
    <s v="It"/>
    <d v="1983-07-07T00:00:00"/>
    <n v="21"/>
    <n v="179365"/>
    <x v="3"/>
  </r>
  <r>
    <n v="274"/>
    <n v="9067"/>
    <n v="50"/>
    <x v="1"/>
    <s v="Marketing"/>
    <d v="1973-12-20T00:00:00"/>
    <n v="24"/>
    <n v="187838"/>
    <x v="3"/>
  </r>
  <r>
    <n v="275"/>
    <n v="7346"/>
    <n v="25"/>
    <x v="0"/>
    <s v="Finance"/>
    <d v="2018-07-04T00:00:00"/>
    <n v="16"/>
    <n v="132450"/>
    <x v="1"/>
  </r>
  <r>
    <n v="276"/>
    <n v="5348"/>
    <n v="51"/>
    <x v="0"/>
    <s v="It"/>
    <d v="1993-04-21T00:00:00"/>
    <n v="27"/>
    <n v="205100"/>
    <x v="3"/>
  </r>
  <r>
    <n v="277"/>
    <n v="8654"/>
    <n v="33"/>
    <x v="0"/>
    <s v="Hr"/>
    <d v="1987-11-27T00:00:00"/>
    <n v="14"/>
    <n v="116747"/>
    <x v="2"/>
  </r>
  <r>
    <n v="278"/>
    <n v="6135"/>
    <n v="39"/>
    <x v="0"/>
    <s v="It"/>
    <d v="1989-03-11T00:00:00"/>
    <n v="20"/>
    <n v="163267"/>
    <x v="2"/>
  </r>
  <r>
    <n v="279"/>
    <n v="9855"/>
    <n v="52"/>
    <x v="0"/>
    <s v="It"/>
    <d v="2001-08-12T00:00:00"/>
    <n v="25"/>
    <n v="201417"/>
    <x v="3"/>
  </r>
  <r>
    <n v="280"/>
    <n v="4372"/>
    <n v="24"/>
    <x v="0"/>
    <s v="It"/>
    <d v="2007-12-09T00:00:00"/>
    <n v="10"/>
    <n v="81020"/>
    <x v="1"/>
  </r>
  <r>
    <n v="281"/>
    <n v="5929"/>
    <n v="54"/>
    <x v="0"/>
    <s v="Finance"/>
    <d v="2019-10-28T00:00:00"/>
    <n v="28"/>
    <n v="223674"/>
    <x v="3"/>
  </r>
  <r>
    <n v="282"/>
    <n v="3596"/>
    <n v="47"/>
    <x v="1"/>
    <s v="Sales"/>
    <d v="1999-02-15T00:00:00"/>
    <n v="26"/>
    <n v="210860"/>
    <x v="4"/>
  </r>
  <r>
    <n v="283"/>
    <n v="5750"/>
    <n v="43"/>
    <x v="1"/>
    <s v="Finance"/>
    <d v="2022-07-25T00:00:00"/>
    <n v="21"/>
    <n v="166151"/>
    <x v="4"/>
  </r>
  <r>
    <n v="284"/>
    <n v="6969"/>
    <n v="49"/>
    <x v="1"/>
    <s v="Sales"/>
    <d v="2004-06-23T00:00:00"/>
    <n v="27"/>
    <n v="221768"/>
    <x v="4"/>
  </r>
  <r>
    <n v="285"/>
    <n v="9046"/>
    <n v="61"/>
    <x v="1"/>
    <s v="Marketing"/>
    <d v="2022-02-23T00:00:00"/>
    <n v="28"/>
    <n v="228336"/>
    <x v="0"/>
  </r>
  <r>
    <n v="286"/>
    <n v="4744"/>
    <n v="23"/>
    <x v="0"/>
    <s v="Finance"/>
    <d v="1997-03-28T00:00:00"/>
    <n v="10"/>
    <n v="83287"/>
    <x v="1"/>
  </r>
  <r>
    <n v="287"/>
    <n v="9279"/>
    <n v="34"/>
    <x v="0"/>
    <s v="Hr"/>
    <d v="1970-02-26T00:00:00"/>
    <n v="14"/>
    <n v="107405"/>
    <x v="2"/>
  </r>
  <r>
    <n v="288"/>
    <n v="8703"/>
    <n v="28"/>
    <x v="1"/>
    <s v="Finance"/>
    <d v="1998-12-31T00:00:00"/>
    <n v="14"/>
    <n v="108456"/>
    <x v="1"/>
  </r>
  <r>
    <n v="289"/>
    <n v="1390"/>
    <n v="62"/>
    <x v="1"/>
    <s v="Marketing"/>
    <d v="2007-03-22T00:00:00"/>
    <n v="34"/>
    <n v="266769"/>
    <x v="0"/>
  </r>
  <r>
    <n v="290"/>
    <n v="3432"/>
    <n v="60"/>
    <x v="0"/>
    <s v="Marketing"/>
    <d v="1990-05-22T00:00:00"/>
    <n v="28"/>
    <n v="220626"/>
    <x v="0"/>
  </r>
  <r>
    <n v="291"/>
    <n v="6674"/>
    <n v="27"/>
    <x v="1"/>
    <s v="Sales"/>
    <d v="2009-10-13T00:00:00"/>
    <n v="11"/>
    <n v="87783"/>
    <x v="1"/>
  </r>
  <r>
    <n v="292"/>
    <n v="9406"/>
    <n v="55"/>
    <x v="1"/>
    <s v="Hr"/>
    <d v="1999-06-25T00:00:00"/>
    <n v="28"/>
    <n v="222819"/>
    <x v="3"/>
  </r>
  <r>
    <n v="293"/>
    <n v="5410"/>
    <n v="38"/>
    <x v="0"/>
    <s v="Finance"/>
    <d v="2014-05-01T00:00:00"/>
    <n v="19"/>
    <n v="156891"/>
    <x v="2"/>
  </r>
  <r>
    <n v="294"/>
    <n v="1985"/>
    <n v="41"/>
    <x v="1"/>
    <s v="Marketing"/>
    <d v="2023-07-29T00:00:00"/>
    <n v="20"/>
    <n v="166454"/>
    <x v="4"/>
  </r>
  <r>
    <n v="295"/>
    <n v="1586"/>
    <n v="59"/>
    <x v="0"/>
    <s v="Finance"/>
    <d v="1979-07-28T00:00:00"/>
    <n v="28"/>
    <n v="219860"/>
    <x v="3"/>
  </r>
  <r>
    <n v="296"/>
    <n v="6512"/>
    <n v="32"/>
    <x v="0"/>
    <s v="Hr"/>
    <d v="1981-04-22T00:00:00"/>
    <n v="14"/>
    <n v="119827"/>
    <x v="2"/>
  </r>
  <r>
    <n v="297"/>
    <n v="4130"/>
    <n v="50"/>
    <x v="1"/>
    <s v="It"/>
    <d v="1970-05-02T00:00:00"/>
    <n v="25"/>
    <n v="200843"/>
    <x v="3"/>
  </r>
  <r>
    <n v="298"/>
    <n v="1545"/>
    <n v="34"/>
    <x v="1"/>
    <s v="Sales"/>
    <d v="2016-01-11T00:00:00"/>
    <n v="17"/>
    <n v="134412"/>
    <x v="2"/>
  </r>
  <r>
    <n v="299"/>
    <n v="8876"/>
    <n v="58"/>
    <x v="1"/>
    <s v="Sales"/>
    <d v="1998-06-29T00:00:00"/>
    <n v="29"/>
    <n v="232716"/>
    <x v="3"/>
  </r>
  <r>
    <n v="300"/>
    <n v="6444"/>
    <n v="23"/>
    <x v="0"/>
    <s v="Finance"/>
    <d v="1980-10-08T00:00:00"/>
    <n v="13"/>
    <n v="103933"/>
    <x v="1"/>
  </r>
  <r>
    <n v="301"/>
    <n v="6852"/>
    <n v="25"/>
    <x v="0"/>
    <s v="Sales"/>
    <d v="2009-10-11T00:00:00"/>
    <n v="12"/>
    <n v="92047"/>
    <x v="1"/>
  </r>
  <r>
    <n v="302"/>
    <n v="7321"/>
    <n v="44"/>
    <x v="1"/>
    <s v="Sales"/>
    <d v="2013-10-23T00:00:00"/>
    <n v="22"/>
    <n v="172886"/>
    <x v="4"/>
  </r>
  <r>
    <n v="303"/>
    <n v="5556"/>
    <n v="37"/>
    <x v="1"/>
    <s v="It"/>
    <d v="1980-11-27T00:00:00"/>
    <n v="17"/>
    <n v="138827"/>
    <x v="2"/>
  </r>
  <r>
    <n v="304"/>
    <n v="2377"/>
    <n v="46"/>
    <x v="1"/>
    <s v="Finance"/>
    <d v="2006-10-14T00:00:00"/>
    <n v="22"/>
    <n v="180896"/>
    <x v="4"/>
  </r>
  <r>
    <n v="305"/>
    <n v="1169"/>
    <n v="39"/>
    <x v="0"/>
    <s v="Sales"/>
    <d v="1994-05-29T00:00:00"/>
    <n v="17"/>
    <n v="130190"/>
    <x v="2"/>
  </r>
  <r>
    <n v="306"/>
    <n v="3130"/>
    <n v="58"/>
    <x v="1"/>
    <s v="It"/>
    <d v="1970-03-31T00:00:00"/>
    <n v="26"/>
    <n v="215277"/>
    <x v="3"/>
  </r>
  <r>
    <n v="307"/>
    <n v="8296"/>
    <n v="47"/>
    <x v="1"/>
    <s v="Marketing"/>
    <d v="1974-11-11T00:00:00"/>
    <n v="26"/>
    <n v="206424"/>
    <x v="4"/>
  </r>
  <r>
    <n v="308"/>
    <n v="1465"/>
    <n v="49"/>
    <x v="1"/>
    <s v="Hr"/>
    <d v="2008-11-14T00:00:00"/>
    <n v="23"/>
    <n v="183184"/>
    <x v="4"/>
  </r>
  <r>
    <n v="309"/>
    <n v="2460"/>
    <n v="49"/>
    <x v="0"/>
    <s v="Marketing"/>
    <d v="2022-11-17T00:00:00"/>
    <n v="27"/>
    <n v="214559"/>
    <x v="4"/>
  </r>
  <r>
    <n v="310"/>
    <n v="5218"/>
    <n v="23"/>
    <x v="0"/>
    <s v="It"/>
    <d v="2012-06-04T00:00:00"/>
    <n v="13"/>
    <n v="108976"/>
    <x v="1"/>
  </r>
  <r>
    <n v="311"/>
    <n v="2582"/>
    <n v="61"/>
    <x v="0"/>
    <s v="Sales"/>
    <d v="2005-03-24T00:00:00"/>
    <n v="28"/>
    <n v="219409"/>
    <x v="0"/>
  </r>
  <r>
    <n v="312"/>
    <n v="7872"/>
    <n v="60"/>
    <x v="1"/>
    <s v="Hr"/>
    <d v="2018-02-12T00:00:00"/>
    <n v="28"/>
    <n v="227772"/>
    <x v="0"/>
  </r>
  <r>
    <n v="313"/>
    <n v="1548"/>
    <n v="47"/>
    <x v="0"/>
    <s v="Hr"/>
    <d v="1973-02-12T00:00:00"/>
    <n v="21"/>
    <n v="165170"/>
    <x v="4"/>
  </r>
  <r>
    <n v="314"/>
    <n v="6510"/>
    <n v="64"/>
    <x v="0"/>
    <s v="Finance"/>
    <d v="1998-07-31T00:00:00"/>
    <n v="29"/>
    <n v="234199"/>
    <x v="0"/>
  </r>
  <r>
    <n v="315"/>
    <n v="6788"/>
    <n v="48"/>
    <x v="0"/>
    <s v="Finance"/>
    <d v="1984-05-31T00:00:00"/>
    <n v="26"/>
    <n v="212050"/>
    <x v="4"/>
  </r>
  <r>
    <n v="316"/>
    <n v="7404"/>
    <n v="54"/>
    <x v="1"/>
    <s v="It"/>
    <d v="2018-10-24T00:00:00"/>
    <n v="31"/>
    <n v="249856"/>
    <x v="3"/>
  </r>
  <r>
    <n v="317"/>
    <n v="6438"/>
    <n v="37"/>
    <x v="1"/>
    <s v="Marketing"/>
    <d v="2010-03-16T00:00:00"/>
    <n v="18"/>
    <n v="149464"/>
    <x v="2"/>
  </r>
  <r>
    <n v="318"/>
    <n v="4847"/>
    <n v="37"/>
    <x v="1"/>
    <s v="Sales"/>
    <d v="1974-06-04T00:00:00"/>
    <n v="16"/>
    <n v="124970"/>
    <x v="2"/>
  </r>
  <r>
    <n v="319"/>
    <n v="7292"/>
    <n v="61"/>
    <x v="1"/>
    <s v="Hr"/>
    <d v="2007-04-22T00:00:00"/>
    <n v="32"/>
    <n v="256982"/>
    <x v="0"/>
  </r>
  <r>
    <n v="320"/>
    <n v="6925"/>
    <n v="61"/>
    <x v="0"/>
    <s v="It"/>
    <d v="1983-10-22T00:00:00"/>
    <n v="31"/>
    <n v="243928"/>
    <x v="0"/>
  </r>
  <r>
    <n v="321"/>
    <n v="2232"/>
    <n v="46"/>
    <x v="1"/>
    <s v="Hr"/>
    <d v="1994-04-26T00:00:00"/>
    <n v="23"/>
    <n v="189606"/>
    <x v="4"/>
  </r>
  <r>
    <n v="322"/>
    <n v="3471"/>
    <n v="32"/>
    <x v="0"/>
    <s v="Marketing"/>
    <d v="2008-10-22T00:00:00"/>
    <n v="16"/>
    <n v="124879"/>
    <x v="2"/>
  </r>
  <r>
    <n v="323"/>
    <n v="3537"/>
    <n v="34"/>
    <x v="1"/>
    <s v="Finance"/>
    <d v="2018-02-04T00:00:00"/>
    <n v="15"/>
    <n v="121239"/>
    <x v="2"/>
  </r>
  <r>
    <n v="324"/>
    <n v="9164"/>
    <n v="25"/>
    <x v="0"/>
    <s v="Finance"/>
    <d v="2019-07-26T00:00:00"/>
    <n v="9"/>
    <n v="75895"/>
    <x v="1"/>
  </r>
  <r>
    <n v="325"/>
    <n v="6318"/>
    <n v="42"/>
    <x v="0"/>
    <s v="Marketing"/>
    <d v="1980-11-01T00:00:00"/>
    <n v="22"/>
    <n v="176472"/>
    <x v="4"/>
  </r>
  <r>
    <n v="326"/>
    <n v="9734"/>
    <n v="52"/>
    <x v="1"/>
    <s v="Marketing"/>
    <d v="2011-08-19T00:00:00"/>
    <n v="27"/>
    <n v="212809"/>
    <x v="3"/>
  </r>
  <r>
    <n v="327"/>
    <n v="6820"/>
    <n v="42"/>
    <x v="0"/>
    <s v="Sales"/>
    <d v="1981-09-10T00:00:00"/>
    <n v="20"/>
    <n v="163828"/>
    <x v="4"/>
  </r>
  <r>
    <n v="328"/>
    <n v="5827"/>
    <n v="27"/>
    <x v="0"/>
    <s v="Hr"/>
    <d v="1992-07-12T00:00:00"/>
    <n v="13"/>
    <n v="108619"/>
    <x v="1"/>
  </r>
  <r>
    <n v="329"/>
    <n v="5708"/>
    <n v="37"/>
    <x v="1"/>
    <s v="Hr"/>
    <d v="1990-04-07T00:00:00"/>
    <n v="19"/>
    <n v="152992"/>
    <x v="2"/>
  </r>
  <r>
    <n v="330"/>
    <n v="9126"/>
    <n v="43"/>
    <x v="0"/>
    <s v="Marketing"/>
    <d v="2002-08-23T00:00:00"/>
    <n v="20"/>
    <n v="154462"/>
    <x v="4"/>
  </r>
  <r>
    <n v="331"/>
    <n v="1862"/>
    <n v="39"/>
    <x v="1"/>
    <s v="Sales"/>
    <d v="2016-12-26T00:00:00"/>
    <n v="18"/>
    <n v="143605"/>
    <x v="2"/>
  </r>
  <r>
    <n v="332"/>
    <n v="3905"/>
    <n v="39"/>
    <x v="0"/>
    <s v="Finance"/>
    <d v="1997-05-30T00:00:00"/>
    <n v="15"/>
    <n v="117870"/>
    <x v="2"/>
  </r>
  <r>
    <n v="333"/>
    <n v="5504"/>
    <n v="54"/>
    <x v="1"/>
    <s v="Finance"/>
    <d v="2008-07-02T00:00:00"/>
    <n v="28"/>
    <n v="223902"/>
    <x v="3"/>
  </r>
  <r>
    <n v="334"/>
    <n v="1819"/>
    <n v="31"/>
    <x v="1"/>
    <s v="Hr"/>
    <d v="2009-05-28T00:00:00"/>
    <n v="14"/>
    <n v="115875"/>
    <x v="2"/>
  </r>
  <r>
    <n v="335"/>
    <n v="2901"/>
    <n v="46"/>
    <x v="0"/>
    <s v="Marketing"/>
    <d v="2004-04-05T00:00:00"/>
    <n v="24"/>
    <n v="187168"/>
    <x v="4"/>
  </r>
  <r>
    <n v="336"/>
    <n v="8229"/>
    <n v="64"/>
    <x v="1"/>
    <s v="Marketing"/>
    <d v="1997-11-23T00:00:00"/>
    <n v="33"/>
    <n v="265624"/>
    <x v="0"/>
  </r>
  <r>
    <n v="337"/>
    <n v="9442"/>
    <n v="62"/>
    <x v="0"/>
    <s v="Marketing"/>
    <d v="2001-01-08T00:00:00"/>
    <n v="32"/>
    <n v="259400"/>
    <x v="0"/>
  </r>
  <r>
    <n v="338"/>
    <n v="4796"/>
    <n v="28"/>
    <x v="1"/>
    <s v="Finance"/>
    <d v="1985-03-23T00:00:00"/>
    <n v="15"/>
    <n v="113486"/>
    <x v="1"/>
  </r>
  <r>
    <n v="339"/>
    <n v="1890"/>
    <n v="26"/>
    <x v="1"/>
    <s v="Marketing"/>
    <d v="1989-02-01T00:00:00"/>
    <n v="13"/>
    <n v="102162"/>
    <x v="1"/>
  </r>
  <r>
    <n v="340"/>
    <n v="2321"/>
    <n v="52"/>
    <x v="1"/>
    <s v="Hr"/>
    <d v="2000-07-16T00:00:00"/>
    <n v="25"/>
    <n v="200331"/>
    <x v="3"/>
  </r>
  <r>
    <n v="341"/>
    <n v="6947"/>
    <n v="35"/>
    <x v="1"/>
    <s v="Finance"/>
    <d v="1990-11-14T00:00:00"/>
    <n v="18"/>
    <n v="143134"/>
    <x v="2"/>
  </r>
  <r>
    <n v="342"/>
    <n v="2401"/>
    <n v="41"/>
    <x v="1"/>
    <s v="Sales"/>
    <d v="1970-09-19T00:00:00"/>
    <n v="20"/>
    <n v="152367"/>
    <x v="4"/>
  </r>
  <r>
    <n v="343"/>
    <n v="3015"/>
    <n v="62"/>
    <x v="0"/>
    <s v="It"/>
    <d v="2017-10-13T00:00:00"/>
    <n v="31"/>
    <n v="241831"/>
    <x v="0"/>
  </r>
  <r>
    <n v="344"/>
    <n v="6354"/>
    <n v="46"/>
    <x v="1"/>
    <s v="Finance"/>
    <d v="2020-02-25T00:00:00"/>
    <n v="22"/>
    <n v="174392"/>
    <x v="4"/>
  </r>
  <r>
    <n v="345"/>
    <n v="9023"/>
    <n v="44"/>
    <x v="1"/>
    <s v="Sales"/>
    <d v="1999-06-17T00:00:00"/>
    <n v="21"/>
    <n v="166153"/>
    <x v="4"/>
  </r>
  <r>
    <n v="346"/>
    <n v="9431"/>
    <n v="22"/>
    <x v="0"/>
    <s v="It"/>
    <d v="1984-04-01T00:00:00"/>
    <n v="14"/>
    <n v="116114"/>
    <x v="1"/>
  </r>
  <r>
    <n v="347"/>
    <n v="1279"/>
    <n v="54"/>
    <x v="0"/>
    <s v="Sales"/>
    <d v="1981-04-26T00:00:00"/>
    <n v="26"/>
    <n v="215298"/>
    <x v="3"/>
  </r>
  <r>
    <n v="348"/>
    <n v="5865"/>
    <n v="44"/>
    <x v="0"/>
    <s v="Sales"/>
    <d v="2021-11-17T00:00:00"/>
    <n v="20"/>
    <n v="161836"/>
    <x v="4"/>
  </r>
  <r>
    <n v="349"/>
    <n v="8816"/>
    <n v="43"/>
    <x v="1"/>
    <s v="It"/>
    <d v="1996-03-10T00:00:00"/>
    <n v="21"/>
    <n v="156464"/>
    <x v="4"/>
  </r>
  <r>
    <n v="350"/>
    <n v="7352"/>
    <n v="51"/>
    <x v="1"/>
    <s v="Marketing"/>
    <d v="1996-03-16T00:00:00"/>
    <n v="21"/>
    <n v="161728"/>
    <x v="3"/>
  </r>
  <r>
    <n v="351"/>
    <n v="8570"/>
    <n v="26"/>
    <x v="1"/>
    <s v="Marketing"/>
    <d v="1999-02-23T00:00:00"/>
    <n v="13"/>
    <n v="108822"/>
    <x v="1"/>
  </r>
  <r>
    <n v="352"/>
    <n v="7873"/>
    <n v="62"/>
    <x v="1"/>
    <s v="It"/>
    <d v="1983-12-22T00:00:00"/>
    <n v="31"/>
    <n v="242129"/>
    <x v="0"/>
  </r>
  <r>
    <n v="353"/>
    <n v="5037"/>
    <n v="49"/>
    <x v="1"/>
    <s v="It"/>
    <d v="2005-09-01T00:00:00"/>
    <n v="25"/>
    <n v="208439"/>
    <x v="4"/>
  </r>
  <r>
    <n v="354"/>
    <n v="6812"/>
    <n v="31"/>
    <x v="1"/>
    <s v="Marketing"/>
    <d v="1973-08-07T00:00:00"/>
    <n v="16"/>
    <n v="132859"/>
    <x v="2"/>
  </r>
  <r>
    <n v="355"/>
    <n v="6228"/>
    <n v="48"/>
    <x v="0"/>
    <s v="It"/>
    <d v="1986-04-06T00:00:00"/>
    <n v="25"/>
    <n v="197639"/>
    <x v="4"/>
  </r>
  <r>
    <n v="356"/>
    <n v="1541"/>
    <n v="27"/>
    <x v="1"/>
    <s v="It"/>
    <d v="1986-10-11T00:00:00"/>
    <n v="11"/>
    <n v="78632"/>
    <x v="1"/>
  </r>
  <r>
    <n v="357"/>
    <n v="4009"/>
    <n v="23"/>
    <x v="1"/>
    <s v="Finance"/>
    <d v="1975-11-14T00:00:00"/>
    <n v="11"/>
    <n v="80817"/>
    <x v="1"/>
  </r>
  <r>
    <n v="358"/>
    <n v="8185"/>
    <n v="46"/>
    <x v="0"/>
    <s v="It"/>
    <d v="1996-04-09T00:00:00"/>
    <n v="20"/>
    <n v="169224"/>
    <x v="4"/>
  </r>
  <r>
    <n v="359"/>
    <n v="8399"/>
    <n v="24"/>
    <x v="1"/>
    <s v="Hr"/>
    <d v="2012-08-29T00:00:00"/>
    <n v="9"/>
    <n v="69736"/>
    <x v="1"/>
  </r>
  <r>
    <n v="360"/>
    <n v="4196"/>
    <n v="52"/>
    <x v="0"/>
    <s v="Marketing"/>
    <d v="2014-04-30T00:00:00"/>
    <n v="22"/>
    <n v="172041"/>
    <x v="3"/>
  </r>
  <r>
    <n v="361"/>
    <n v="1944"/>
    <n v="49"/>
    <x v="0"/>
    <s v="Sales"/>
    <d v="2012-01-02T00:00:00"/>
    <n v="22"/>
    <n v="175269"/>
    <x v="4"/>
  </r>
  <r>
    <n v="362"/>
    <n v="4672"/>
    <n v="27"/>
    <x v="0"/>
    <s v="Sales"/>
    <d v="1996-07-01T00:00:00"/>
    <n v="12"/>
    <n v="96587"/>
    <x v="1"/>
  </r>
  <r>
    <n v="363"/>
    <n v="2424"/>
    <n v="61"/>
    <x v="1"/>
    <s v="Finance"/>
    <d v="2017-02-06T00:00:00"/>
    <n v="28"/>
    <n v="228121"/>
    <x v="0"/>
  </r>
  <r>
    <n v="364"/>
    <n v="3389"/>
    <n v="57"/>
    <x v="0"/>
    <s v="Marketing"/>
    <d v="1998-08-24T00:00:00"/>
    <n v="28"/>
    <n v="219082"/>
    <x v="3"/>
  </r>
  <r>
    <n v="365"/>
    <n v="9010"/>
    <n v="30"/>
    <x v="1"/>
    <s v="Sales"/>
    <d v="1972-03-31T00:00:00"/>
    <n v="14"/>
    <n v="112660"/>
    <x v="2"/>
  </r>
  <r>
    <n v="366"/>
    <n v="7713"/>
    <n v="50"/>
    <x v="1"/>
    <s v="Sales"/>
    <d v="1992-10-29T00:00:00"/>
    <n v="24"/>
    <n v="192120"/>
    <x v="3"/>
  </r>
  <r>
    <n v="367"/>
    <n v="4303"/>
    <n v="35"/>
    <x v="0"/>
    <s v="Finance"/>
    <d v="2017-12-02T00:00:00"/>
    <n v="17"/>
    <n v="138446"/>
    <x v="2"/>
  </r>
  <r>
    <n v="368"/>
    <n v="7683"/>
    <n v="62"/>
    <x v="1"/>
    <s v="Marketing"/>
    <d v="2017-07-16T00:00:00"/>
    <n v="31"/>
    <n v="248320"/>
    <x v="0"/>
  </r>
  <r>
    <n v="369"/>
    <n v="7362"/>
    <n v="49"/>
    <x v="0"/>
    <s v="Marketing"/>
    <d v="2010-08-31T00:00:00"/>
    <n v="20"/>
    <n v="156711"/>
    <x v="4"/>
  </r>
  <r>
    <n v="370"/>
    <n v="1718"/>
    <n v="49"/>
    <x v="1"/>
    <s v="It"/>
    <d v="2018-10-06T00:00:00"/>
    <n v="28"/>
    <n v="226499"/>
    <x v="4"/>
  </r>
  <r>
    <n v="371"/>
    <n v="6548"/>
    <n v="57"/>
    <x v="0"/>
    <s v="It"/>
    <d v="2006-01-01T00:00:00"/>
    <n v="27"/>
    <n v="207647"/>
    <x v="3"/>
  </r>
  <r>
    <n v="372"/>
    <n v="6273"/>
    <n v="37"/>
    <x v="0"/>
    <s v="Hr"/>
    <d v="1994-03-01T00:00:00"/>
    <n v="19"/>
    <n v="150282"/>
    <x v="2"/>
  </r>
  <r>
    <n v="373"/>
    <n v="5076"/>
    <n v="63"/>
    <x v="1"/>
    <s v="Marketing"/>
    <d v="1988-09-25T00:00:00"/>
    <n v="36"/>
    <n v="293410"/>
    <x v="0"/>
  </r>
  <r>
    <n v="374"/>
    <n v="6914"/>
    <n v="23"/>
    <x v="0"/>
    <s v="Sales"/>
    <d v="2010-03-07T00:00:00"/>
    <n v="9"/>
    <n v="66124"/>
    <x v="1"/>
  </r>
  <r>
    <n v="375"/>
    <n v="1068"/>
    <n v="47"/>
    <x v="0"/>
    <s v="It"/>
    <d v="1989-09-29T00:00:00"/>
    <n v="20"/>
    <n v="162792"/>
    <x v="4"/>
  </r>
  <r>
    <n v="376"/>
    <n v="1539"/>
    <n v="42"/>
    <x v="1"/>
    <s v="Finance"/>
    <d v="1998-07-14T00:00:00"/>
    <n v="22"/>
    <n v="169701"/>
    <x v="4"/>
  </r>
  <r>
    <n v="377"/>
    <n v="2565"/>
    <n v="26"/>
    <x v="0"/>
    <s v="Finance"/>
    <d v="1995-06-14T00:00:00"/>
    <n v="12"/>
    <n v="89021"/>
    <x v="1"/>
  </r>
  <r>
    <n v="378"/>
    <n v="7334"/>
    <n v="63"/>
    <x v="1"/>
    <s v="It"/>
    <d v="1976-06-03T00:00:00"/>
    <n v="31"/>
    <n v="253048"/>
    <x v="0"/>
  </r>
  <r>
    <n v="379"/>
    <n v="2974"/>
    <n v="22"/>
    <x v="0"/>
    <s v="Sales"/>
    <d v="2020-06-29T00:00:00"/>
    <n v="7"/>
    <n v="43177"/>
    <x v="1"/>
  </r>
  <r>
    <n v="380"/>
    <n v="2346"/>
    <n v="36"/>
    <x v="0"/>
    <s v="It"/>
    <d v="2025-01-09T00:00:00"/>
    <n v="13"/>
    <n v="103682"/>
    <x v="2"/>
  </r>
  <r>
    <n v="381"/>
    <n v="2800"/>
    <n v="30"/>
    <x v="0"/>
    <s v="It"/>
    <d v="2003-05-08T00:00:00"/>
    <n v="16"/>
    <n v="129947"/>
    <x v="2"/>
  </r>
  <r>
    <n v="382"/>
    <n v="4437"/>
    <n v="62"/>
    <x v="1"/>
    <s v="Finance"/>
    <d v="2001-02-09T00:00:00"/>
    <n v="29"/>
    <n v="227252"/>
    <x v="0"/>
  </r>
  <r>
    <n v="383"/>
    <n v="6007"/>
    <n v="32"/>
    <x v="0"/>
    <s v="Sales"/>
    <d v="1990-06-13T00:00:00"/>
    <n v="15"/>
    <n v="127305"/>
    <x v="2"/>
  </r>
  <r>
    <n v="384"/>
    <n v="2510"/>
    <n v="51"/>
    <x v="1"/>
    <s v="Hr"/>
    <d v="2012-12-18T00:00:00"/>
    <n v="24"/>
    <n v="184578"/>
    <x v="3"/>
  </r>
  <r>
    <n v="385"/>
    <n v="7197"/>
    <n v="45"/>
    <x v="0"/>
    <s v="It"/>
    <d v="1978-07-01T00:00:00"/>
    <n v="23"/>
    <n v="189031"/>
    <x v="4"/>
  </r>
  <r>
    <n v="386"/>
    <n v="5262"/>
    <n v="61"/>
    <x v="0"/>
    <s v="Marketing"/>
    <d v="2020-05-22T00:00:00"/>
    <n v="30"/>
    <n v="242312"/>
    <x v="0"/>
  </r>
  <r>
    <n v="387"/>
    <n v="4315"/>
    <n v="47"/>
    <x v="0"/>
    <s v="Sales"/>
    <d v="2000-05-27T00:00:00"/>
    <n v="24"/>
    <n v="199412"/>
    <x v="4"/>
  </r>
  <r>
    <n v="388"/>
    <n v="8268"/>
    <n v="42"/>
    <x v="0"/>
    <s v="Marketing"/>
    <d v="1991-11-22T00:00:00"/>
    <n v="22"/>
    <n v="181466"/>
    <x v="4"/>
  </r>
  <r>
    <n v="389"/>
    <n v="6197"/>
    <n v="61"/>
    <x v="0"/>
    <s v="Hr"/>
    <d v="1980-03-21T00:00:00"/>
    <n v="32"/>
    <n v="249787"/>
    <x v="0"/>
  </r>
  <r>
    <n v="390"/>
    <n v="6190"/>
    <n v="23"/>
    <x v="1"/>
    <s v="It"/>
    <d v="2016-05-16T00:00:00"/>
    <n v="10"/>
    <n v="75579"/>
    <x v="1"/>
  </r>
  <r>
    <n v="391"/>
    <n v="8585"/>
    <n v="33"/>
    <x v="0"/>
    <s v="Sales"/>
    <d v="2015-10-21T00:00:00"/>
    <n v="14"/>
    <n v="110956"/>
    <x v="2"/>
  </r>
  <r>
    <n v="392"/>
    <n v="4689"/>
    <n v="52"/>
    <x v="0"/>
    <s v="Marketing"/>
    <d v="2014-04-26T00:00:00"/>
    <n v="25"/>
    <n v="205417"/>
    <x v="3"/>
  </r>
  <r>
    <n v="393"/>
    <n v="9048"/>
    <n v="44"/>
    <x v="0"/>
    <s v="Finance"/>
    <d v="1977-08-15T00:00:00"/>
    <n v="25"/>
    <n v="196804"/>
    <x v="4"/>
  </r>
  <r>
    <n v="394"/>
    <n v="7445"/>
    <n v="46"/>
    <x v="0"/>
    <s v="It"/>
    <d v="1983-05-09T00:00:00"/>
    <n v="21"/>
    <n v="171101"/>
    <x v="4"/>
  </r>
  <r>
    <n v="395"/>
    <n v="2129"/>
    <n v="27"/>
    <x v="0"/>
    <s v="It"/>
    <d v="1988-03-28T00:00:00"/>
    <n v="12"/>
    <n v="103203"/>
    <x v="1"/>
  </r>
  <r>
    <n v="396"/>
    <n v="2973"/>
    <n v="26"/>
    <x v="1"/>
    <s v="Finance"/>
    <d v="1973-11-24T00:00:00"/>
    <n v="15"/>
    <n v="120056"/>
    <x v="1"/>
  </r>
  <r>
    <n v="397"/>
    <n v="5722"/>
    <n v="30"/>
    <x v="1"/>
    <s v="Sales"/>
    <d v="2018-04-16T00:00:00"/>
    <n v="16"/>
    <n v="136030"/>
    <x v="2"/>
  </r>
  <r>
    <n v="398"/>
    <n v="4334"/>
    <n v="58"/>
    <x v="0"/>
    <s v="It"/>
    <d v="2017-08-23T00:00:00"/>
    <n v="28"/>
    <n v="225695"/>
    <x v="3"/>
  </r>
  <r>
    <n v="399"/>
    <n v="3900"/>
    <n v="44"/>
    <x v="1"/>
    <s v="It"/>
    <d v="1987-01-24T00:00:00"/>
    <n v="18"/>
    <n v="140411"/>
    <x v="4"/>
  </r>
  <r>
    <n v="400"/>
    <n v="9317"/>
    <n v="45"/>
    <x v="1"/>
    <s v="Finance"/>
    <d v="2017-12-12T00:00:00"/>
    <n v="21"/>
    <n v="169472"/>
    <x v="4"/>
  </r>
  <r>
    <n v="401"/>
    <n v="7802"/>
    <n v="23"/>
    <x v="0"/>
    <s v="Finance"/>
    <d v="2003-07-29T00:00:00"/>
    <n v="12"/>
    <n v="94602"/>
    <x v="1"/>
  </r>
  <r>
    <n v="402"/>
    <n v="3189"/>
    <n v="43"/>
    <x v="1"/>
    <s v="Finance"/>
    <d v="1984-11-26T00:00:00"/>
    <n v="22"/>
    <n v="176423"/>
    <x v="4"/>
  </r>
  <r>
    <n v="403"/>
    <n v="2803"/>
    <n v="41"/>
    <x v="1"/>
    <s v="Finance"/>
    <d v="1976-12-18T00:00:00"/>
    <n v="20"/>
    <n v="173046"/>
    <x v="4"/>
  </r>
  <r>
    <n v="404"/>
    <n v="9086"/>
    <n v="26"/>
    <x v="0"/>
    <s v="Marketing"/>
    <d v="1976-07-13T00:00:00"/>
    <n v="12"/>
    <n v="82230"/>
    <x v="1"/>
  </r>
  <r>
    <n v="405"/>
    <n v="9975"/>
    <n v="22"/>
    <x v="1"/>
    <s v="It"/>
    <d v="2004-05-16T00:00:00"/>
    <n v="9"/>
    <n v="65079"/>
    <x v="1"/>
  </r>
  <r>
    <n v="406"/>
    <n v="8328"/>
    <n v="51"/>
    <x v="1"/>
    <s v="Sales"/>
    <d v="1986-10-27T00:00:00"/>
    <n v="24"/>
    <n v="194961"/>
    <x v="3"/>
  </r>
  <r>
    <n v="407"/>
    <n v="1695"/>
    <n v="55"/>
    <x v="0"/>
    <s v="It"/>
    <d v="2003-01-09T00:00:00"/>
    <n v="24"/>
    <n v="192619"/>
    <x v="3"/>
  </r>
  <r>
    <n v="408"/>
    <n v="6633"/>
    <n v="27"/>
    <x v="0"/>
    <s v="Hr"/>
    <d v="2002-03-27T00:00:00"/>
    <n v="16"/>
    <n v="123888"/>
    <x v="1"/>
  </r>
  <r>
    <n v="409"/>
    <n v="5922"/>
    <n v="57"/>
    <x v="1"/>
    <s v="Sales"/>
    <d v="2020-05-02T00:00:00"/>
    <n v="29"/>
    <n v="225741"/>
    <x v="3"/>
  </r>
  <r>
    <n v="410"/>
    <n v="4364"/>
    <n v="54"/>
    <x v="0"/>
    <s v="Finance"/>
    <d v="2009-01-25T00:00:00"/>
    <n v="28"/>
    <n v="221040"/>
    <x v="3"/>
  </r>
  <r>
    <n v="411"/>
    <n v="9938"/>
    <n v="34"/>
    <x v="0"/>
    <s v="Hr"/>
    <d v="2018-04-21T00:00:00"/>
    <n v="16"/>
    <n v="133650"/>
    <x v="2"/>
  </r>
  <r>
    <n v="412"/>
    <n v="4303"/>
    <n v="31"/>
    <x v="0"/>
    <s v="Marketing"/>
    <d v="1980-11-19T00:00:00"/>
    <n v="11"/>
    <n v="93339"/>
    <x v="2"/>
  </r>
  <r>
    <n v="413"/>
    <n v="4845"/>
    <n v="42"/>
    <x v="0"/>
    <s v="Finance"/>
    <d v="1993-05-15T00:00:00"/>
    <n v="20"/>
    <n v="163242"/>
    <x v="4"/>
  </r>
  <r>
    <n v="414"/>
    <n v="8086"/>
    <n v="36"/>
    <x v="0"/>
    <s v="It"/>
    <d v="1975-05-16T00:00:00"/>
    <n v="16"/>
    <n v="126451"/>
    <x v="2"/>
  </r>
  <r>
    <n v="415"/>
    <n v="4245"/>
    <n v="23"/>
    <x v="0"/>
    <s v="Hr"/>
    <d v="2011-10-16T00:00:00"/>
    <n v="11"/>
    <n v="91619"/>
    <x v="1"/>
  </r>
  <r>
    <n v="416"/>
    <n v="6736"/>
    <n v="43"/>
    <x v="1"/>
    <s v="Marketing"/>
    <d v="1979-09-11T00:00:00"/>
    <n v="20"/>
    <n v="171600"/>
    <x v="4"/>
  </r>
  <r>
    <n v="417"/>
    <n v="9276"/>
    <n v="23"/>
    <x v="0"/>
    <s v="It"/>
    <d v="1983-03-08T00:00:00"/>
    <n v="10"/>
    <n v="75749"/>
    <x v="1"/>
  </r>
  <r>
    <n v="418"/>
    <n v="4411"/>
    <n v="36"/>
    <x v="1"/>
    <s v="Marketing"/>
    <d v="2020-12-11T00:00:00"/>
    <n v="19"/>
    <n v="146689"/>
    <x v="2"/>
  </r>
  <r>
    <n v="419"/>
    <n v="3693"/>
    <n v="36"/>
    <x v="1"/>
    <s v="It"/>
    <d v="2003-04-19T00:00:00"/>
    <n v="17"/>
    <n v="141159"/>
    <x v="2"/>
  </r>
  <r>
    <n v="420"/>
    <n v="1513"/>
    <n v="41"/>
    <x v="0"/>
    <s v="Finance"/>
    <d v="1999-12-21T00:00:00"/>
    <n v="18"/>
    <n v="143584"/>
    <x v="4"/>
  </r>
  <r>
    <n v="421"/>
    <n v="6094"/>
    <n v="30"/>
    <x v="1"/>
    <s v="Marketing"/>
    <d v="2012-02-29T00:00:00"/>
    <n v="12"/>
    <n v="92136"/>
    <x v="2"/>
  </r>
  <r>
    <n v="422"/>
    <n v="9908"/>
    <n v="53"/>
    <x v="0"/>
    <s v="It"/>
    <d v="2022-07-06T00:00:00"/>
    <n v="26"/>
    <n v="204041"/>
    <x v="3"/>
  </r>
  <r>
    <n v="423"/>
    <n v="5991"/>
    <n v="60"/>
    <x v="0"/>
    <s v="Hr"/>
    <d v="1994-02-28T00:00:00"/>
    <n v="29"/>
    <n v="227146"/>
    <x v="0"/>
  </r>
  <r>
    <n v="424"/>
    <n v="8398"/>
    <n v="36"/>
    <x v="1"/>
    <s v="Finance"/>
    <d v="1983-09-03T00:00:00"/>
    <n v="14"/>
    <n v="107232"/>
    <x v="2"/>
  </r>
  <r>
    <n v="425"/>
    <n v="2660"/>
    <n v="57"/>
    <x v="0"/>
    <s v="Sales"/>
    <d v="2015-11-24T00:00:00"/>
    <n v="28"/>
    <n v="222824"/>
    <x v="3"/>
  </r>
  <r>
    <n v="426"/>
    <n v="7255"/>
    <n v="37"/>
    <x v="0"/>
    <s v="Finance"/>
    <d v="2010-02-22T00:00:00"/>
    <n v="21"/>
    <n v="162790"/>
    <x v="2"/>
  </r>
  <r>
    <n v="427"/>
    <n v="2687"/>
    <n v="50"/>
    <x v="1"/>
    <s v="It"/>
    <d v="2006-04-20T00:00:00"/>
    <n v="18"/>
    <n v="150069"/>
    <x v="3"/>
  </r>
  <r>
    <n v="428"/>
    <n v="8717"/>
    <n v="44"/>
    <x v="0"/>
    <s v="Finance"/>
    <d v="1998-08-16T00:00:00"/>
    <n v="22"/>
    <n v="172707"/>
    <x v="4"/>
  </r>
  <r>
    <n v="429"/>
    <n v="1471"/>
    <n v="49"/>
    <x v="0"/>
    <s v="It"/>
    <d v="2022-01-09T00:00:00"/>
    <n v="25"/>
    <n v="200491"/>
    <x v="4"/>
  </r>
  <r>
    <n v="430"/>
    <n v="3188"/>
    <n v="64"/>
    <x v="0"/>
    <s v="Finance"/>
    <d v="1987-05-14T00:00:00"/>
    <n v="31"/>
    <n v="247653"/>
    <x v="0"/>
  </r>
  <r>
    <n v="431"/>
    <n v="7435"/>
    <n v="49"/>
    <x v="0"/>
    <s v="Finance"/>
    <d v="2021-05-30T00:00:00"/>
    <n v="24"/>
    <n v="191755"/>
    <x v="4"/>
  </r>
  <r>
    <n v="432"/>
    <n v="2002"/>
    <n v="27"/>
    <x v="1"/>
    <s v="Sales"/>
    <d v="1979-02-09T00:00:00"/>
    <n v="15"/>
    <n v="125131"/>
    <x v="1"/>
  </r>
  <r>
    <n v="433"/>
    <n v="5880"/>
    <n v="42"/>
    <x v="0"/>
    <s v="Sales"/>
    <d v="1978-07-13T00:00:00"/>
    <n v="21"/>
    <n v="164265"/>
    <x v="4"/>
  </r>
  <r>
    <n v="434"/>
    <n v="4796"/>
    <n v="28"/>
    <x v="0"/>
    <s v="Sales"/>
    <d v="2018-06-22T00:00:00"/>
    <n v="15"/>
    <n v="109701"/>
    <x v="1"/>
  </r>
  <r>
    <n v="435"/>
    <n v="7768"/>
    <n v="53"/>
    <x v="0"/>
    <s v="Sales"/>
    <d v="1999-07-11T00:00:00"/>
    <n v="29"/>
    <n v="238477"/>
    <x v="3"/>
  </r>
  <r>
    <n v="436"/>
    <n v="4407"/>
    <n v="48"/>
    <x v="0"/>
    <s v="Hr"/>
    <d v="1971-06-06T00:00:00"/>
    <n v="24"/>
    <n v="193938"/>
    <x v="4"/>
  </r>
  <r>
    <n v="437"/>
    <n v="4747"/>
    <n v="49"/>
    <x v="0"/>
    <s v="Marketing"/>
    <d v="1985-11-29T00:00:00"/>
    <n v="20"/>
    <n v="156976"/>
    <x v="4"/>
  </r>
  <r>
    <n v="438"/>
    <n v="9893"/>
    <n v="54"/>
    <x v="0"/>
    <s v="Sales"/>
    <d v="1972-09-14T00:00:00"/>
    <n v="29"/>
    <n v="229200"/>
    <x v="3"/>
  </r>
  <r>
    <n v="439"/>
    <n v="1779"/>
    <n v="47"/>
    <x v="0"/>
    <s v="Sales"/>
    <d v="1993-06-27T00:00:00"/>
    <n v="24"/>
    <n v="194985"/>
    <x v="4"/>
  </r>
  <r>
    <n v="440"/>
    <n v="3531"/>
    <n v="40"/>
    <x v="1"/>
    <s v="Hr"/>
    <d v="1973-03-02T00:00:00"/>
    <n v="19"/>
    <n v="150665"/>
    <x v="4"/>
  </r>
  <r>
    <n v="441"/>
    <n v="9943"/>
    <n v="45"/>
    <x v="0"/>
    <s v="Marketing"/>
    <d v="1982-06-09T00:00:00"/>
    <n v="22"/>
    <n v="187991"/>
    <x v="4"/>
  </r>
  <r>
    <n v="442"/>
    <n v="6308"/>
    <n v="55"/>
    <x v="0"/>
    <s v="Marketing"/>
    <d v="2012-11-05T00:00:00"/>
    <n v="26"/>
    <n v="202446"/>
    <x v="3"/>
  </r>
  <r>
    <n v="443"/>
    <n v="4784"/>
    <n v="55"/>
    <x v="1"/>
    <s v="Finance"/>
    <d v="2018-12-17T00:00:00"/>
    <n v="25"/>
    <n v="203933"/>
    <x v="3"/>
  </r>
  <r>
    <n v="444"/>
    <n v="8665"/>
    <n v="59"/>
    <x v="1"/>
    <s v="Sales"/>
    <d v="2000-10-15T00:00:00"/>
    <n v="29"/>
    <n v="234277"/>
    <x v="3"/>
  </r>
  <r>
    <n v="445"/>
    <n v="8492"/>
    <n v="54"/>
    <x v="1"/>
    <s v="Hr"/>
    <d v="1972-05-24T00:00:00"/>
    <n v="28"/>
    <n v="225715"/>
    <x v="3"/>
  </r>
  <r>
    <n v="446"/>
    <n v="2639"/>
    <n v="24"/>
    <x v="0"/>
    <s v="Hr"/>
    <d v="1997-01-23T00:00:00"/>
    <n v="10"/>
    <n v="75812"/>
    <x v="1"/>
  </r>
  <r>
    <n v="447"/>
    <n v="3328"/>
    <n v="24"/>
    <x v="1"/>
    <s v="Sales"/>
    <d v="1987-09-01T00:00:00"/>
    <n v="8"/>
    <n v="68134"/>
    <x v="1"/>
  </r>
  <r>
    <n v="448"/>
    <n v="3255"/>
    <n v="48"/>
    <x v="0"/>
    <s v="Finance"/>
    <d v="1997-10-26T00:00:00"/>
    <n v="20"/>
    <n v="155985"/>
    <x v="4"/>
  </r>
  <r>
    <n v="449"/>
    <n v="4651"/>
    <n v="50"/>
    <x v="1"/>
    <s v="Finance"/>
    <d v="2003-06-07T00:00:00"/>
    <n v="27"/>
    <n v="222685"/>
    <x v="3"/>
  </r>
  <r>
    <n v="450"/>
    <n v="6391"/>
    <n v="49"/>
    <x v="0"/>
    <s v="Sales"/>
    <d v="2004-08-18T00:00:00"/>
    <n v="28"/>
    <n v="220500"/>
    <x v="4"/>
  </r>
  <r>
    <n v="451"/>
    <n v="9655"/>
    <n v="31"/>
    <x v="1"/>
    <s v="Finance"/>
    <d v="2007-06-14T00:00:00"/>
    <n v="15"/>
    <n v="126388"/>
    <x v="2"/>
  </r>
  <r>
    <n v="452"/>
    <n v="6856"/>
    <n v="37"/>
    <x v="1"/>
    <s v="Sales"/>
    <d v="2008-11-09T00:00:00"/>
    <n v="21"/>
    <n v="169212"/>
    <x v="2"/>
  </r>
  <r>
    <n v="453"/>
    <n v="7141"/>
    <n v="45"/>
    <x v="1"/>
    <s v="Hr"/>
    <d v="2006-08-16T00:00:00"/>
    <n v="24"/>
    <n v="186015"/>
    <x v="4"/>
  </r>
  <r>
    <n v="454"/>
    <n v="2259"/>
    <n v="52"/>
    <x v="1"/>
    <s v="Finance"/>
    <d v="2022-03-02T00:00:00"/>
    <n v="27"/>
    <n v="217544"/>
    <x v="3"/>
  </r>
  <r>
    <n v="455"/>
    <n v="5518"/>
    <n v="33"/>
    <x v="1"/>
    <s v="Marketing"/>
    <d v="2021-03-12T00:00:00"/>
    <n v="17"/>
    <n v="128767"/>
    <x v="2"/>
  </r>
  <r>
    <n v="456"/>
    <n v="5641"/>
    <n v="60"/>
    <x v="0"/>
    <s v="Marketing"/>
    <d v="2011-08-15T00:00:00"/>
    <n v="27"/>
    <n v="216812"/>
    <x v="0"/>
  </r>
  <r>
    <n v="457"/>
    <n v="8734"/>
    <n v="50"/>
    <x v="0"/>
    <s v="Hr"/>
    <d v="2023-10-28T00:00:00"/>
    <n v="21"/>
    <n v="174984"/>
    <x v="3"/>
  </r>
  <r>
    <n v="458"/>
    <n v="7473"/>
    <n v="49"/>
    <x v="1"/>
    <s v="Sales"/>
    <d v="1973-09-01T00:00:00"/>
    <n v="24"/>
    <n v="192274"/>
    <x v="4"/>
  </r>
  <r>
    <n v="459"/>
    <n v="8293"/>
    <n v="52"/>
    <x v="1"/>
    <s v="It"/>
    <d v="2021-02-09T00:00:00"/>
    <n v="28"/>
    <n v="216683"/>
    <x v="3"/>
  </r>
  <r>
    <n v="460"/>
    <n v="1014"/>
    <n v="51"/>
    <x v="0"/>
    <s v="Hr"/>
    <d v="1984-05-20T00:00:00"/>
    <n v="22"/>
    <n v="184887"/>
    <x v="3"/>
  </r>
  <r>
    <n v="461"/>
    <n v="4824"/>
    <n v="42"/>
    <x v="1"/>
    <s v="Sales"/>
    <d v="1995-11-20T00:00:00"/>
    <n v="21"/>
    <n v="160580"/>
    <x v="4"/>
  </r>
  <r>
    <n v="462"/>
    <n v="8260"/>
    <n v="55"/>
    <x v="0"/>
    <s v="Marketing"/>
    <d v="1998-08-23T00:00:00"/>
    <n v="30"/>
    <n v="245031"/>
    <x v="3"/>
  </r>
  <r>
    <n v="463"/>
    <n v="8101"/>
    <n v="52"/>
    <x v="1"/>
    <s v="Hr"/>
    <d v="1988-03-24T00:00:00"/>
    <n v="19"/>
    <n v="148735"/>
    <x v="3"/>
  </r>
  <r>
    <n v="464"/>
    <n v="1488"/>
    <n v="44"/>
    <x v="1"/>
    <s v="Hr"/>
    <d v="1982-06-24T00:00:00"/>
    <n v="19"/>
    <n v="150934"/>
    <x v="4"/>
  </r>
  <r>
    <n v="465"/>
    <n v="9373"/>
    <n v="52"/>
    <x v="1"/>
    <s v="Marketing"/>
    <d v="2000-09-11T00:00:00"/>
    <n v="31"/>
    <n v="249071"/>
    <x v="3"/>
  </r>
  <r>
    <n v="466"/>
    <n v="2643"/>
    <n v="53"/>
    <x v="0"/>
    <s v="Hr"/>
    <d v="1991-02-01T00:00:00"/>
    <n v="29"/>
    <n v="235550"/>
    <x v="3"/>
  </r>
  <r>
    <n v="467"/>
    <n v="1498"/>
    <n v="36"/>
    <x v="0"/>
    <s v="Sales"/>
    <d v="1987-06-08T00:00:00"/>
    <n v="19"/>
    <n v="151124"/>
    <x v="2"/>
  </r>
  <r>
    <n v="468"/>
    <n v="1515"/>
    <n v="39"/>
    <x v="0"/>
    <s v="Sales"/>
    <d v="2007-10-09T00:00:00"/>
    <n v="17"/>
    <n v="140001"/>
    <x v="2"/>
  </r>
  <r>
    <n v="469"/>
    <n v="1919"/>
    <n v="23"/>
    <x v="1"/>
    <s v="Hr"/>
    <d v="1985-09-08T00:00:00"/>
    <n v="10"/>
    <n v="78834"/>
    <x v="1"/>
  </r>
  <r>
    <n v="470"/>
    <n v="4464"/>
    <n v="27"/>
    <x v="1"/>
    <s v="It"/>
    <d v="1971-05-08T00:00:00"/>
    <n v="10"/>
    <n v="82592"/>
    <x v="1"/>
  </r>
  <r>
    <n v="471"/>
    <n v="6062"/>
    <n v="27"/>
    <x v="0"/>
    <s v="Hr"/>
    <d v="1976-10-21T00:00:00"/>
    <n v="14"/>
    <n v="115688"/>
    <x v="1"/>
  </r>
  <r>
    <n v="472"/>
    <n v="8609"/>
    <n v="60"/>
    <x v="0"/>
    <s v="Sales"/>
    <d v="2002-09-25T00:00:00"/>
    <n v="33"/>
    <n v="263818"/>
    <x v="0"/>
  </r>
  <r>
    <n v="473"/>
    <n v="3523"/>
    <n v="45"/>
    <x v="0"/>
    <s v="Hr"/>
    <d v="1978-06-08T00:00:00"/>
    <n v="23"/>
    <n v="178139"/>
    <x v="4"/>
  </r>
  <r>
    <n v="474"/>
    <n v="7576"/>
    <n v="48"/>
    <x v="1"/>
    <s v="Sales"/>
    <d v="2006-08-17T00:00:00"/>
    <n v="24"/>
    <n v="194575"/>
    <x v="4"/>
  </r>
  <r>
    <n v="475"/>
    <n v="9175"/>
    <n v="44"/>
    <x v="1"/>
    <s v="Sales"/>
    <d v="1974-04-23T00:00:00"/>
    <n v="27"/>
    <n v="213467"/>
    <x v="4"/>
  </r>
  <r>
    <n v="476"/>
    <n v="4299"/>
    <n v="43"/>
    <x v="1"/>
    <s v="Sales"/>
    <d v="2025-05-26T00:00:00"/>
    <n v="19"/>
    <n v="155006"/>
    <x v="4"/>
  </r>
  <r>
    <n v="477"/>
    <n v="1747"/>
    <n v="51"/>
    <x v="1"/>
    <s v="Marketing"/>
    <d v="1986-11-28T00:00:00"/>
    <n v="24"/>
    <n v="192646"/>
    <x v="3"/>
  </r>
  <r>
    <n v="478"/>
    <n v="5284"/>
    <n v="62"/>
    <x v="0"/>
    <s v="It"/>
    <d v="1974-08-28T00:00:00"/>
    <n v="29"/>
    <n v="232123"/>
    <x v="0"/>
  </r>
  <r>
    <n v="479"/>
    <n v="3907"/>
    <n v="56"/>
    <x v="1"/>
    <s v="Sales"/>
    <d v="2011-07-17T00:00:00"/>
    <n v="29"/>
    <n v="229395"/>
    <x v="3"/>
  </r>
  <r>
    <n v="480"/>
    <n v="3543"/>
    <n v="45"/>
    <x v="0"/>
    <s v="Marketing"/>
    <d v="2011-11-30T00:00:00"/>
    <n v="25"/>
    <n v="202850"/>
    <x v="4"/>
  </r>
  <r>
    <n v="481"/>
    <n v="5168"/>
    <n v="23"/>
    <x v="1"/>
    <s v="It"/>
    <d v="1973-03-27T00:00:00"/>
    <n v="10"/>
    <n v="85536"/>
    <x v="1"/>
  </r>
  <r>
    <n v="482"/>
    <n v="2060"/>
    <n v="42"/>
    <x v="1"/>
    <s v="Hr"/>
    <d v="1994-10-27T00:00:00"/>
    <n v="21"/>
    <n v="172003"/>
    <x v="4"/>
  </r>
  <r>
    <n v="483"/>
    <n v="5476"/>
    <n v="56"/>
    <x v="0"/>
    <s v="Finance"/>
    <d v="2011-12-04T00:00:00"/>
    <n v="29"/>
    <n v="235111"/>
    <x v="3"/>
  </r>
  <r>
    <n v="484"/>
    <n v="5336"/>
    <n v="60"/>
    <x v="1"/>
    <s v="Sales"/>
    <d v="1971-08-13T00:00:00"/>
    <n v="32"/>
    <n v="248177"/>
    <x v="0"/>
  </r>
  <r>
    <n v="485"/>
    <n v="7226"/>
    <n v="38"/>
    <x v="1"/>
    <s v="Hr"/>
    <d v="2018-11-15T00:00:00"/>
    <n v="25"/>
    <n v="199358"/>
    <x v="2"/>
  </r>
  <r>
    <n v="486"/>
    <n v="7799"/>
    <n v="42"/>
    <x v="0"/>
    <s v="Finance"/>
    <d v="1987-07-29T00:00:00"/>
    <n v="24"/>
    <n v="189242"/>
    <x v="4"/>
  </r>
  <r>
    <n v="487"/>
    <n v="1518"/>
    <n v="35"/>
    <x v="1"/>
    <s v="Sales"/>
    <d v="2001-04-14T00:00:00"/>
    <n v="14"/>
    <n v="115170"/>
    <x v="2"/>
  </r>
  <r>
    <n v="488"/>
    <n v="5175"/>
    <n v="64"/>
    <x v="0"/>
    <s v="It"/>
    <d v="2001-10-01T00:00:00"/>
    <n v="35"/>
    <n v="285886"/>
    <x v="0"/>
  </r>
  <r>
    <n v="489"/>
    <n v="8349"/>
    <n v="48"/>
    <x v="1"/>
    <s v="It"/>
    <d v="1974-05-27T00:00:00"/>
    <n v="23"/>
    <n v="177664"/>
    <x v="4"/>
  </r>
  <r>
    <n v="490"/>
    <n v="2319"/>
    <n v="29"/>
    <x v="0"/>
    <s v="Marketing"/>
    <d v="1986-10-07T00:00:00"/>
    <n v="15"/>
    <n v="113358"/>
    <x v="1"/>
  </r>
  <r>
    <n v="491"/>
    <n v="5357"/>
    <n v="27"/>
    <x v="1"/>
    <s v="Finance"/>
    <d v="1975-11-22T00:00:00"/>
    <n v="14"/>
    <n v="115037"/>
    <x v="1"/>
  </r>
  <r>
    <n v="492"/>
    <n v="6309"/>
    <n v="43"/>
    <x v="1"/>
    <s v="Hr"/>
    <d v="1993-10-24T00:00:00"/>
    <n v="23"/>
    <n v="183906"/>
    <x v="4"/>
  </r>
  <r>
    <n v="493"/>
    <n v="3870"/>
    <n v="42"/>
    <x v="0"/>
    <s v="It"/>
    <d v="1973-01-17T00:00:00"/>
    <n v="22"/>
    <n v="176978"/>
    <x v="4"/>
  </r>
  <r>
    <n v="494"/>
    <n v="3740"/>
    <n v="59"/>
    <x v="0"/>
    <s v="Hr"/>
    <d v="2014-05-30T00:00:00"/>
    <n v="31"/>
    <n v="257256"/>
    <x v="3"/>
  </r>
  <r>
    <n v="495"/>
    <n v="8426"/>
    <n v="32"/>
    <x v="1"/>
    <s v="Marketing"/>
    <d v="2013-12-04T00:00:00"/>
    <n v="16"/>
    <n v="126088"/>
    <x v="2"/>
  </r>
  <r>
    <n v="496"/>
    <n v="9810"/>
    <n v="26"/>
    <x v="1"/>
    <s v="It"/>
    <d v="2022-05-02T00:00:00"/>
    <n v="15"/>
    <n v="118094"/>
    <x v="1"/>
  </r>
  <r>
    <n v="497"/>
    <n v="5396"/>
    <n v="34"/>
    <x v="0"/>
    <s v="Finance"/>
    <d v="2025-04-22T00:00:00"/>
    <n v="16"/>
    <n v="131208"/>
    <x v="2"/>
  </r>
  <r>
    <n v="498"/>
    <n v="7546"/>
    <n v="60"/>
    <x v="0"/>
    <s v="Hr"/>
    <d v="1970-01-13T00:00:00"/>
    <n v="28"/>
    <n v="224502"/>
    <x v="0"/>
  </r>
  <r>
    <n v="499"/>
    <n v="7744"/>
    <n v="29"/>
    <x v="1"/>
    <s v="Finance"/>
    <d v="1988-06-21T00:00:00"/>
    <n v="15"/>
    <n v="114758"/>
    <x v="1"/>
  </r>
  <r>
    <m/>
    <m/>
    <m/>
    <x v="2"/>
    <m/>
    <m/>
    <m/>
    <n v="85317186"/>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6A5E4E-D035-4E8A-8A6B-569402B4507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9" firstHeaderRow="1" firstDataRow="1" firstDataCol="1"/>
  <pivotFields count="10">
    <pivotField showAll="0"/>
    <pivotField dataField="1" showAll="0"/>
    <pivotField showAll="0"/>
    <pivotField showAll="0"/>
    <pivotField showAll="0"/>
    <pivotField numFmtId="14" showAll="0">
      <items count="496">
        <item x="493"/>
        <item x="236"/>
        <item x="284"/>
        <item x="302"/>
        <item x="293"/>
        <item x="261"/>
        <item x="337"/>
        <item x="266"/>
        <item x="77"/>
        <item x="465"/>
        <item x="150"/>
        <item x="431"/>
        <item x="479"/>
        <item x="190"/>
        <item x="36"/>
        <item x="269"/>
        <item x="27"/>
        <item x="360"/>
        <item x="165"/>
        <item x="440"/>
        <item x="231"/>
        <item x="235"/>
        <item x="433"/>
        <item x="35"/>
        <item x="488"/>
        <item x="182"/>
        <item x="309"/>
        <item x="435"/>
        <item x="476"/>
        <item x="20"/>
        <item x="201"/>
        <item x="349"/>
        <item x="159"/>
        <item x="453"/>
        <item x="391"/>
        <item x="272"/>
        <item x="43"/>
        <item x="10"/>
        <item x="470"/>
        <item x="56"/>
        <item x="484"/>
        <item x="70"/>
        <item x="473"/>
        <item x="186"/>
        <item x="80"/>
        <item x="303"/>
        <item x="238"/>
        <item x="50"/>
        <item x="409"/>
        <item x="158"/>
        <item x="254"/>
        <item x="105"/>
        <item x="140"/>
        <item x="352"/>
        <item x="486"/>
        <item x="31"/>
        <item x="63"/>
        <item x="66"/>
        <item x="373"/>
        <item x="399"/>
        <item x="83"/>
        <item x="221"/>
        <item x="33"/>
        <item x="4"/>
        <item x="59"/>
        <item x="466"/>
        <item x="205"/>
        <item x="398"/>
        <item x="206"/>
        <item x="39"/>
        <item x="388"/>
        <item x="155"/>
        <item x="163"/>
        <item x="224"/>
        <item x="468"/>
        <item x="380"/>
        <item x="428"/>
        <item x="217"/>
        <item x="149"/>
        <item x="110"/>
        <item x="118"/>
        <item x="259"/>
        <item x="427"/>
        <item x="239"/>
        <item x="125"/>
        <item x="292"/>
        <item x="411"/>
        <item x="222"/>
        <item x="1"/>
        <item x="78"/>
        <item x="384"/>
        <item x="29"/>
        <item x="296"/>
        <item x="320"/>
        <item x="232"/>
        <item x="407"/>
        <item x="213"/>
        <item x="299"/>
        <item x="196"/>
        <item x="237"/>
        <item x="342"/>
        <item x="187"/>
        <item x="176"/>
        <item x="322"/>
        <item x="6"/>
        <item x="193"/>
        <item x="91"/>
        <item x="45"/>
        <item x="162"/>
        <item x="5"/>
        <item x="436"/>
        <item x="459"/>
        <item x="15"/>
        <item x="169"/>
        <item x="247"/>
        <item x="412"/>
        <item x="135"/>
        <item x="389"/>
        <item x="75"/>
        <item x="271"/>
        <item x="168"/>
        <item x="199"/>
        <item x="136"/>
        <item x="419"/>
        <item x="7"/>
        <item x="315"/>
        <item x="347"/>
        <item x="341"/>
        <item x="153"/>
        <item x="455"/>
        <item x="311"/>
        <item x="102"/>
        <item x="263"/>
        <item x="13"/>
        <item x="127"/>
        <item x="147"/>
        <item x="112"/>
        <item x="397"/>
        <item x="24"/>
        <item x="333"/>
        <item x="120"/>
        <item x="244"/>
        <item x="111"/>
        <item x="101"/>
        <item x="464"/>
        <item x="432"/>
        <item x="350"/>
        <item x="485"/>
        <item x="351"/>
        <item x="401"/>
        <item x="472"/>
        <item x="394"/>
        <item x="106"/>
        <item x="425"/>
        <item x="462"/>
        <item x="58"/>
        <item x="481"/>
        <item x="442"/>
        <item x="52"/>
        <item x="275"/>
        <item x="229"/>
        <item x="458"/>
        <item x="390"/>
        <item x="494"/>
        <item x="180"/>
        <item x="38"/>
        <item x="368"/>
        <item x="334"/>
        <item x="258"/>
        <item x="276"/>
        <item x="171"/>
        <item x="133"/>
        <item x="89"/>
        <item x="370"/>
        <item x="198"/>
        <item x="324"/>
        <item x="57"/>
        <item x="287"/>
        <item x="378"/>
        <item x="138"/>
        <item x="336"/>
        <item x="174"/>
        <item x="461"/>
        <item x="260"/>
        <item x="257"/>
        <item x="104"/>
        <item x="71"/>
        <item x="11"/>
        <item x="243"/>
        <item x="145"/>
        <item x="204"/>
        <item x="383"/>
        <item x="192"/>
        <item x="72"/>
        <item x="160"/>
        <item x="189"/>
        <item x="267"/>
        <item x="323"/>
        <item x="73"/>
        <item x="19"/>
        <item x="361"/>
        <item x="274"/>
        <item x="408"/>
        <item x="434"/>
        <item x="487"/>
        <item x="265"/>
        <item x="183"/>
        <item x="246"/>
        <item x="418"/>
        <item x="367"/>
        <item x="0"/>
        <item x="316"/>
        <item x="301"/>
        <item x="32"/>
        <item x="41"/>
        <item x="477"/>
        <item x="51"/>
        <item x="184"/>
        <item x="372"/>
        <item x="172"/>
        <item x="456"/>
        <item x="344"/>
        <item x="345"/>
        <item x="26"/>
        <item x="353"/>
        <item x="85"/>
        <item x="357"/>
        <item x="251"/>
        <item x="227"/>
        <item x="109"/>
        <item x="441"/>
        <item x="68"/>
        <item x="230"/>
        <item x="74"/>
        <item x="154"/>
        <item x="86"/>
        <item x="327"/>
        <item x="170"/>
        <item x="107"/>
        <item x="443"/>
        <item x="331"/>
        <item x="143"/>
        <item x="295"/>
        <item x="371"/>
        <item x="310"/>
        <item x="167"/>
        <item x="423"/>
        <item x="457"/>
        <item x="359"/>
        <item x="2"/>
        <item x="285"/>
        <item x="216"/>
        <item x="280"/>
        <item x="346"/>
        <item x="211"/>
        <item x="340"/>
        <item x="289"/>
        <item x="430"/>
        <item x="415"/>
        <item x="47"/>
        <item x="148"/>
        <item x="65"/>
        <item x="382"/>
        <item x="335"/>
        <item x="460"/>
        <item x="439"/>
        <item x="332"/>
        <item x="377"/>
        <item x="16"/>
        <item x="482"/>
        <item x="241"/>
        <item x="144"/>
        <item x="277"/>
        <item x="483"/>
        <item x="403"/>
        <item x="18"/>
        <item x="67"/>
        <item x="179"/>
        <item x="115"/>
        <item x="325"/>
        <item x="157"/>
        <item x="252"/>
        <item x="467"/>
        <item x="402"/>
        <item x="141"/>
        <item x="55"/>
        <item x="219"/>
        <item x="414"/>
        <item x="130"/>
        <item x="376"/>
        <item x="444"/>
        <item x="396"/>
        <item x="95"/>
        <item x="175"/>
        <item x="330"/>
        <item x="400"/>
        <item x="87"/>
        <item x="282"/>
        <item x="445"/>
        <item x="61"/>
        <item x="30"/>
        <item x="14"/>
        <item x="214"/>
        <item x="245"/>
        <item x="177"/>
        <item x="152"/>
        <item x="307"/>
        <item x="270"/>
        <item x="203"/>
        <item x="64"/>
        <item x="99"/>
        <item x="348"/>
        <item x="191"/>
        <item x="249"/>
        <item x="366"/>
        <item x="422"/>
        <item x="92"/>
        <item x="142"/>
        <item x="122"/>
        <item x="121"/>
        <item x="240"/>
        <item x="223"/>
        <item x="448"/>
        <item x="469"/>
        <item x="48"/>
        <item x="164"/>
        <item x="300"/>
        <item x="119"/>
        <item x="286"/>
        <item x="185"/>
        <item x="314"/>
        <item x="446"/>
        <item x="113"/>
        <item x="228"/>
        <item x="463"/>
        <item x="278"/>
        <item x="139"/>
        <item x="28"/>
        <item x="328"/>
        <item x="40"/>
        <item x="250"/>
        <item x="60"/>
        <item x="62"/>
        <item x="84"/>
        <item x="166"/>
        <item x="317"/>
        <item x="447"/>
        <item x="304"/>
        <item x="405"/>
        <item x="94"/>
        <item x="207"/>
        <item x="255"/>
        <item x="25"/>
        <item x="329"/>
        <item x="297"/>
        <item x="288"/>
        <item x="21"/>
        <item x="253"/>
        <item x="161"/>
        <item x="116"/>
        <item x="421"/>
        <item x="369"/>
        <item x="313"/>
        <item x="268"/>
        <item x="131"/>
        <item x="234"/>
        <item x="364"/>
        <item x="256"/>
        <item x="474"/>
        <item x="451"/>
        <item x="321"/>
        <item x="410"/>
        <item x="3"/>
        <item x="475"/>
        <item x="478"/>
        <item x="356"/>
        <item x="117"/>
        <item x="416"/>
        <item x="233"/>
        <item x="306"/>
        <item x="49"/>
        <item x="188"/>
        <item x="354"/>
        <item x="437"/>
        <item x="81"/>
        <item x="379"/>
        <item x="194"/>
        <item x="79"/>
        <item x="103"/>
        <item x="22"/>
        <item x="298"/>
        <item x="54"/>
        <item x="490"/>
        <item x="93"/>
        <item x="200"/>
        <item x="137"/>
        <item x="387"/>
        <item x="355"/>
        <item x="290"/>
        <item x="215"/>
        <item x="489"/>
        <item x="23"/>
        <item x="134"/>
        <item x="9"/>
        <item x="202"/>
        <item x="12"/>
        <item x="264"/>
        <item x="82"/>
        <item x="386"/>
        <item x="420"/>
        <item x="294"/>
        <item x="385"/>
        <item x="156"/>
        <item x="114"/>
        <item x="129"/>
        <item x="181"/>
        <item x="326"/>
        <item x="358"/>
        <item x="132"/>
        <item x="151"/>
        <item x="363"/>
        <item x="97"/>
        <item x="393"/>
        <item x="338"/>
        <item x="362"/>
        <item x="395"/>
        <item x="146"/>
        <item x="123"/>
        <item x="318"/>
        <item x="308"/>
        <item x="126"/>
        <item x="392"/>
        <item x="128"/>
        <item x="406"/>
        <item x="209"/>
        <item x="429"/>
        <item x="273"/>
        <item x="96"/>
        <item x="178"/>
        <item x="365"/>
        <item x="312"/>
        <item x="480"/>
        <item x="438"/>
        <item x="34"/>
        <item x="46"/>
        <item x="319"/>
        <item x="69"/>
        <item x="279"/>
        <item x="53"/>
        <item x="339"/>
        <item x="404"/>
        <item x="124"/>
        <item x="381"/>
        <item x="173"/>
        <item x="374"/>
        <item x="225"/>
        <item x="88"/>
        <item x="413"/>
        <item x="8"/>
        <item x="42"/>
        <item x="454"/>
        <item x="450"/>
        <item x="426"/>
        <item x="220"/>
        <item x="343"/>
        <item x="424"/>
        <item x="218"/>
        <item x="283"/>
        <item x="449"/>
        <item x="44"/>
        <item x="195"/>
        <item x="491"/>
        <item x="417"/>
        <item x="281"/>
        <item x="108"/>
        <item x="305"/>
        <item x="76"/>
        <item x="248"/>
        <item x="212"/>
        <item x="208"/>
        <item x="291"/>
        <item x="98"/>
        <item x="197"/>
        <item x="452"/>
        <item x="262"/>
        <item x="17"/>
        <item x="210"/>
        <item x="226"/>
        <item x="37"/>
        <item x="375"/>
        <item x="100"/>
        <item x="492"/>
        <item x="471"/>
        <item x="242"/>
        <item x="90"/>
        <item t="default"/>
      </items>
    </pivotField>
    <pivotField showAll="0"/>
    <pivotField numFmtId="164" showAll="0"/>
    <pivotField axis="axisRow" showAll="0">
      <items count="6">
        <item x="1"/>
        <item x="2"/>
        <item x="4"/>
        <item x="3"/>
        <item x="0"/>
        <item t="default"/>
      </items>
    </pivotField>
    <pivotField showAll="0">
      <items count="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s>
  <rowFields count="1">
    <field x="8"/>
  </rowFields>
  <rowItems count="6">
    <i>
      <x/>
    </i>
    <i>
      <x v="1"/>
    </i>
    <i>
      <x v="2"/>
    </i>
    <i>
      <x v="3"/>
    </i>
    <i>
      <x v="4"/>
    </i>
    <i t="grand">
      <x/>
    </i>
  </rowItems>
  <colItems count="1">
    <i/>
  </colItems>
  <dataFields count="1">
    <dataField name="Count of Employee_ID" fld="1"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0" format="4">
      <pivotArea type="data" outline="0" fieldPosition="0">
        <references count="2">
          <reference field="4294967294" count="1" selected="0">
            <x v="0"/>
          </reference>
          <reference field="8" count="1" selected="0">
            <x v="3"/>
          </reference>
        </references>
      </pivotArea>
    </chartFormat>
    <chartFormat chart="0" format="5">
      <pivotArea type="data" outline="0" fieldPosition="0">
        <references count="2">
          <reference field="4294967294" count="1" selected="0">
            <x v="0"/>
          </reference>
          <reference field="8" count="1" selected="0">
            <x v="4"/>
          </reference>
        </references>
      </pivotArea>
    </chartFormat>
    <chartFormat chart="17" format="12" series="1">
      <pivotArea type="data" outline="0" fieldPosition="0">
        <references count="1">
          <reference field="4294967294" count="1" selected="0">
            <x v="0"/>
          </reference>
        </references>
      </pivotArea>
    </chartFormat>
    <chartFormat chart="17" format="13">
      <pivotArea type="data" outline="0" fieldPosition="0">
        <references count="2">
          <reference field="4294967294" count="1" selected="0">
            <x v="0"/>
          </reference>
          <reference field="8" count="1" selected="0">
            <x v="0"/>
          </reference>
        </references>
      </pivotArea>
    </chartFormat>
    <chartFormat chart="17" format="14">
      <pivotArea type="data" outline="0" fieldPosition="0">
        <references count="2">
          <reference field="4294967294" count="1" selected="0">
            <x v="0"/>
          </reference>
          <reference field="8" count="1" selected="0">
            <x v="1"/>
          </reference>
        </references>
      </pivotArea>
    </chartFormat>
    <chartFormat chart="17" format="15">
      <pivotArea type="data" outline="0" fieldPosition="0">
        <references count="2">
          <reference field="4294967294" count="1" selected="0">
            <x v="0"/>
          </reference>
          <reference field="8" count="1" selected="0">
            <x v="2"/>
          </reference>
        </references>
      </pivotArea>
    </chartFormat>
    <chartFormat chart="17" format="16">
      <pivotArea type="data" outline="0" fieldPosition="0">
        <references count="2">
          <reference field="4294967294" count="1" selected="0">
            <x v="0"/>
          </reference>
          <reference field="8" count="1" selected="0">
            <x v="3"/>
          </reference>
        </references>
      </pivotArea>
    </chartFormat>
    <chartFormat chart="17" format="17">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FC00C4-E01F-492C-8D32-C4082F972B2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A4" firstHeaderRow="1" firstDataRow="1" firstDataCol="0"/>
  <pivotFields count="10">
    <pivotField showAll="0"/>
    <pivotField showAll="0"/>
    <pivotField showAll="0"/>
    <pivotField showAll="0"/>
    <pivotField showAll="0">
      <items count="6">
        <item h="1" x="0"/>
        <item h="1" x="3"/>
        <item h="1" x="4"/>
        <item h="1" x="2"/>
        <item x="1"/>
        <item t="default"/>
      </items>
    </pivotField>
    <pivotField numFmtId="14" showAll="0">
      <items count="496">
        <item x="493"/>
        <item x="236"/>
        <item x="284"/>
        <item x="302"/>
        <item x="293"/>
        <item x="261"/>
        <item x="337"/>
        <item x="266"/>
        <item x="77"/>
        <item x="465"/>
        <item x="150"/>
        <item x="431"/>
        <item x="479"/>
        <item x="190"/>
        <item x="36"/>
        <item x="269"/>
        <item x="27"/>
        <item x="360"/>
        <item x="165"/>
        <item x="440"/>
        <item x="231"/>
        <item x="235"/>
        <item x="433"/>
        <item x="35"/>
        <item x="488"/>
        <item x="182"/>
        <item x="309"/>
        <item x="435"/>
        <item x="476"/>
        <item x="20"/>
        <item x="201"/>
        <item x="349"/>
        <item x="159"/>
        <item x="453"/>
        <item x="391"/>
        <item x="272"/>
        <item x="43"/>
        <item x="10"/>
        <item x="470"/>
        <item x="56"/>
        <item x="484"/>
        <item x="70"/>
        <item x="473"/>
        <item x="186"/>
        <item x="80"/>
        <item x="303"/>
        <item x="238"/>
        <item x="50"/>
        <item x="409"/>
        <item x="158"/>
        <item x="254"/>
        <item x="105"/>
        <item x="140"/>
        <item x="352"/>
        <item x="486"/>
        <item x="31"/>
        <item x="63"/>
        <item x="66"/>
        <item x="373"/>
        <item x="399"/>
        <item x="83"/>
        <item x="221"/>
        <item x="33"/>
        <item x="4"/>
        <item x="59"/>
        <item x="466"/>
        <item x="205"/>
        <item x="398"/>
        <item x="206"/>
        <item x="39"/>
        <item x="388"/>
        <item x="155"/>
        <item x="163"/>
        <item x="224"/>
        <item x="468"/>
        <item x="380"/>
        <item x="428"/>
        <item x="217"/>
        <item x="149"/>
        <item x="110"/>
        <item x="118"/>
        <item x="259"/>
        <item x="427"/>
        <item x="239"/>
        <item x="125"/>
        <item x="292"/>
        <item x="411"/>
        <item x="222"/>
        <item x="1"/>
        <item x="78"/>
        <item x="384"/>
        <item x="29"/>
        <item x="296"/>
        <item x="320"/>
        <item x="232"/>
        <item x="407"/>
        <item x="213"/>
        <item x="299"/>
        <item x="196"/>
        <item x="237"/>
        <item x="342"/>
        <item x="187"/>
        <item x="176"/>
        <item x="322"/>
        <item x="6"/>
        <item x="193"/>
        <item x="91"/>
        <item x="45"/>
        <item x="162"/>
        <item x="5"/>
        <item x="436"/>
        <item x="459"/>
        <item x="15"/>
        <item x="169"/>
        <item x="247"/>
        <item x="412"/>
        <item x="135"/>
        <item x="389"/>
        <item x="75"/>
        <item x="271"/>
        <item x="168"/>
        <item x="199"/>
        <item x="136"/>
        <item x="419"/>
        <item x="7"/>
        <item x="315"/>
        <item x="347"/>
        <item x="341"/>
        <item x="153"/>
        <item x="455"/>
        <item x="311"/>
        <item x="102"/>
        <item x="263"/>
        <item x="13"/>
        <item x="127"/>
        <item x="147"/>
        <item x="112"/>
        <item x="397"/>
        <item x="24"/>
        <item x="333"/>
        <item x="120"/>
        <item x="244"/>
        <item x="111"/>
        <item x="101"/>
        <item x="464"/>
        <item x="432"/>
        <item x="350"/>
        <item x="485"/>
        <item x="351"/>
        <item x="401"/>
        <item x="472"/>
        <item x="394"/>
        <item x="106"/>
        <item x="425"/>
        <item x="462"/>
        <item x="58"/>
        <item x="481"/>
        <item x="442"/>
        <item x="52"/>
        <item x="275"/>
        <item x="229"/>
        <item x="458"/>
        <item x="390"/>
        <item x="494"/>
        <item x="180"/>
        <item x="38"/>
        <item x="368"/>
        <item x="334"/>
        <item x="258"/>
        <item x="276"/>
        <item x="171"/>
        <item x="133"/>
        <item x="89"/>
        <item x="370"/>
        <item x="198"/>
        <item x="324"/>
        <item x="57"/>
        <item x="287"/>
        <item x="378"/>
        <item x="138"/>
        <item x="336"/>
        <item x="174"/>
        <item x="461"/>
        <item x="260"/>
        <item x="257"/>
        <item x="104"/>
        <item x="71"/>
        <item x="11"/>
        <item x="243"/>
        <item x="145"/>
        <item x="204"/>
        <item x="383"/>
        <item x="192"/>
        <item x="72"/>
        <item x="160"/>
        <item x="189"/>
        <item x="267"/>
        <item x="323"/>
        <item x="73"/>
        <item x="19"/>
        <item x="361"/>
        <item x="274"/>
        <item x="408"/>
        <item x="434"/>
        <item x="487"/>
        <item x="265"/>
        <item x="183"/>
        <item x="246"/>
        <item x="418"/>
        <item x="367"/>
        <item x="0"/>
        <item x="316"/>
        <item x="301"/>
        <item x="32"/>
        <item x="41"/>
        <item x="477"/>
        <item x="51"/>
        <item x="184"/>
        <item x="372"/>
        <item x="172"/>
        <item x="456"/>
        <item x="344"/>
        <item x="345"/>
        <item x="26"/>
        <item x="353"/>
        <item x="85"/>
        <item x="357"/>
        <item x="251"/>
        <item x="227"/>
        <item x="109"/>
        <item x="441"/>
        <item x="68"/>
        <item x="230"/>
        <item x="74"/>
        <item x="154"/>
        <item x="86"/>
        <item x="327"/>
        <item x="170"/>
        <item x="107"/>
        <item x="443"/>
        <item x="331"/>
        <item x="143"/>
        <item x="295"/>
        <item x="371"/>
        <item x="310"/>
        <item x="167"/>
        <item x="423"/>
        <item x="457"/>
        <item x="359"/>
        <item x="2"/>
        <item x="285"/>
        <item x="216"/>
        <item x="280"/>
        <item x="346"/>
        <item x="211"/>
        <item x="340"/>
        <item x="289"/>
        <item x="430"/>
        <item x="415"/>
        <item x="47"/>
        <item x="148"/>
        <item x="65"/>
        <item x="382"/>
        <item x="335"/>
        <item x="460"/>
        <item x="439"/>
        <item x="332"/>
        <item x="377"/>
        <item x="16"/>
        <item x="482"/>
        <item x="241"/>
        <item x="144"/>
        <item x="277"/>
        <item x="483"/>
        <item x="403"/>
        <item x="18"/>
        <item x="67"/>
        <item x="179"/>
        <item x="115"/>
        <item x="325"/>
        <item x="157"/>
        <item x="252"/>
        <item x="467"/>
        <item x="402"/>
        <item x="141"/>
        <item x="55"/>
        <item x="219"/>
        <item x="414"/>
        <item x="130"/>
        <item x="376"/>
        <item x="444"/>
        <item x="396"/>
        <item x="95"/>
        <item x="175"/>
        <item x="330"/>
        <item x="400"/>
        <item x="87"/>
        <item x="282"/>
        <item x="445"/>
        <item x="61"/>
        <item x="30"/>
        <item x="14"/>
        <item x="214"/>
        <item x="245"/>
        <item x="177"/>
        <item x="152"/>
        <item x="307"/>
        <item x="270"/>
        <item x="203"/>
        <item x="64"/>
        <item x="99"/>
        <item x="348"/>
        <item x="191"/>
        <item x="249"/>
        <item x="366"/>
        <item x="422"/>
        <item x="92"/>
        <item x="142"/>
        <item x="122"/>
        <item x="121"/>
        <item x="240"/>
        <item x="223"/>
        <item x="448"/>
        <item x="469"/>
        <item x="48"/>
        <item x="164"/>
        <item x="300"/>
        <item x="119"/>
        <item x="286"/>
        <item x="185"/>
        <item x="314"/>
        <item x="446"/>
        <item x="113"/>
        <item x="228"/>
        <item x="463"/>
        <item x="278"/>
        <item x="139"/>
        <item x="28"/>
        <item x="328"/>
        <item x="40"/>
        <item x="250"/>
        <item x="60"/>
        <item x="62"/>
        <item x="84"/>
        <item x="166"/>
        <item x="317"/>
        <item x="447"/>
        <item x="304"/>
        <item x="405"/>
        <item x="94"/>
        <item x="207"/>
        <item x="255"/>
        <item x="25"/>
        <item x="329"/>
        <item x="297"/>
        <item x="288"/>
        <item x="21"/>
        <item x="253"/>
        <item x="161"/>
        <item x="116"/>
        <item x="421"/>
        <item x="369"/>
        <item x="313"/>
        <item x="268"/>
        <item x="131"/>
        <item x="234"/>
        <item x="364"/>
        <item x="256"/>
        <item x="474"/>
        <item x="451"/>
        <item x="321"/>
        <item x="410"/>
        <item x="3"/>
        <item x="475"/>
        <item x="478"/>
        <item x="356"/>
        <item x="117"/>
        <item x="416"/>
        <item x="233"/>
        <item x="306"/>
        <item x="49"/>
        <item x="188"/>
        <item x="354"/>
        <item x="437"/>
        <item x="81"/>
        <item x="379"/>
        <item x="194"/>
        <item x="79"/>
        <item x="103"/>
        <item x="22"/>
        <item x="298"/>
        <item x="54"/>
        <item x="490"/>
        <item x="93"/>
        <item x="200"/>
        <item x="137"/>
        <item x="387"/>
        <item x="355"/>
        <item x="290"/>
        <item x="215"/>
        <item x="489"/>
        <item x="23"/>
        <item x="134"/>
        <item x="9"/>
        <item x="202"/>
        <item x="12"/>
        <item x="264"/>
        <item x="82"/>
        <item x="386"/>
        <item x="420"/>
        <item x="294"/>
        <item x="385"/>
        <item x="156"/>
        <item x="114"/>
        <item x="129"/>
        <item x="181"/>
        <item x="326"/>
        <item x="358"/>
        <item x="132"/>
        <item x="151"/>
        <item x="363"/>
        <item x="97"/>
        <item x="393"/>
        <item x="338"/>
        <item x="362"/>
        <item x="395"/>
        <item x="146"/>
        <item x="123"/>
        <item x="318"/>
        <item x="308"/>
        <item x="126"/>
        <item x="392"/>
        <item x="128"/>
        <item x="406"/>
        <item x="209"/>
        <item x="429"/>
        <item x="273"/>
        <item x="96"/>
        <item x="178"/>
        <item x="365"/>
        <item x="312"/>
        <item x="480"/>
        <item x="438"/>
        <item x="34"/>
        <item x="46"/>
        <item x="319"/>
        <item x="69"/>
        <item x="279"/>
        <item x="53"/>
        <item x="339"/>
        <item x="404"/>
        <item x="124"/>
        <item x="381"/>
        <item x="173"/>
        <item x="374"/>
        <item x="225"/>
        <item x="88"/>
        <item x="413"/>
        <item x="8"/>
        <item x="42"/>
        <item x="454"/>
        <item x="450"/>
        <item x="426"/>
        <item x="220"/>
        <item x="343"/>
        <item x="424"/>
        <item x="218"/>
        <item x="283"/>
        <item x="449"/>
        <item x="44"/>
        <item x="195"/>
        <item x="491"/>
        <item x="417"/>
        <item x="281"/>
        <item x="108"/>
        <item x="305"/>
        <item x="76"/>
        <item x="248"/>
        <item x="212"/>
        <item x="208"/>
        <item x="291"/>
        <item x="98"/>
        <item x="197"/>
        <item x="452"/>
        <item x="262"/>
        <item x="17"/>
        <item x="210"/>
        <item x="226"/>
        <item x="37"/>
        <item x="375"/>
        <item x="100"/>
        <item x="492"/>
        <item x="471"/>
        <item x="242"/>
        <item x="90"/>
        <item t="default"/>
      </items>
    </pivotField>
    <pivotField showAll="0"/>
    <pivotField dataField="1" numFmtId="164" showAll="0"/>
    <pivotField showAll="0"/>
    <pivotField showAll="0">
      <items count="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s>
  <rowItems count="1">
    <i/>
  </rowItems>
  <colItems count="1">
    <i/>
  </colItems>
  <dataFields count="1">
    <dataField name="Average of Salary" fld="7" subtotal="average" baseField="4"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6F1D32-B934-45E7-8E7D-D04F1A998B2C}"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9" firstHeaderRow="1" firstDataRow="1" firstDataCol="1"/>
  <pivotFields count="10">
    <pivotField showAll="0"/>
    <pivotField showAll="0"/>
    <pivotField showAll="0"/>
    <pivotField showAll="0"/>
    <pivotField axis="axisRow" showAll="0">
      <items count="6">
        <item x="0"/>
        <item x="3"/>
        <item x="4"/>
        <item x="2"/>
        <item x="1"/>
        <item t="default"/>
      </items>
    </pivotField>
    <pivotField numFmtId="14" showAll="0">
      <items count="496">
        <item x="493"/>
        <item x="236"/>
        <item x="284"/>
        <item x="302"/>
        <item x="293"/>
        <item x="261"/>
        <item x="337"/>
        <item x="266"/>
        <item x="77"/>
        <item x="465"/>
        <item x="150"/>
        <item x="431"/>
        <item x="479"/>
        <item x="190"/>
        <item x="36"/>
        <item x="269"/>
        <item x="27"/>
        <item x="360"/>
        <item x="165"/>
        <item x="440"/>
        <item x="231"/>
        <item x="235"/>
        <item x="433"/>
        <item x="35"/>
        <item x="488"/>
        <item x="182"/>
        <item x="309"/>
        <item x="435"/>
        <item x="476"/>
        <item x="20"/>
        <item x="201"/>
        <item x="349"/>
        <item x="159"/>
        <item x="453"/>
        <item x="391"/>
        <item x="272"/>
        <item x="43"/>
        <item x="10"/>
        <item x="470"/>
        <item x="56"/>
        <item x="484"/>
        <item x="70"/>
        <item x="473"/>
        <item x="186"/>
        <item x="80"/>
        <item x="303"/>
        <item x="238"/>
        <item x="50"/>
        <item x="409"/>
        <item x="158"/>
        <item x="254"/>
        <item x="105"/>
        <item x="140"/>
        <item x="352"/>
        <item x="486"/>
        <item x="31"/>
        <item x="63"/>
        <item x="66"/>
        <item x="373"/>
        <item x="399"/>
        <item x="83"/>
        <item x="221"/>
        <item x="33"/>
        <item x="4"/>
        <item x="59"/>
        <item x="466"/>
        <item x="205"/>
        <item x="398"/>
        <item x="206"/>
        <item x="39"/>
        <item x="388"/>
        <item x="155"/>
        <item x="163"/>
        <item x="224"/>
        <item x="468"/>
        <item x="380"/>
        <item x="428"/>
        <item x="217"/>
        <item x="149"/>
        <item x="110"/>
        <item x="118"/>
        <item x="259"/>
        <item x="427"/>
        <item x="239"/>
        <item x="125"/>
        <item x="292"/>
        <item x="411"/>
        <item x="222"/>
        <item x="1"/>
        <item x="78"/>
        <item x="384"/>
        <item x="29"/>
        <item x="296"/>
        <item x="320"/>
        <item x="232"/>
        <item x="407"/>
        <item x="213"/>
        <item x="299"/>
        <item x="196"/>
        <item x="237"/>
        <item x="342"/>
        <item x="187"/>
        <item x="176"/>
        <item x="322"/>
        <item x="6"/>
        <item x="193"/>
        <item x="91"/>
        <item x="45"/>
        <item x="162"/>
        <item x="5"/>
        <item x="436"/>
        <item x="459"/>
        <item x="15"/>
        <item x="169"/>
        <item x="247"/>
        <item x="412"/>
        <item x="135"/>
        <item x="389"/>
        <item x="75"/>
        <item x="271"/>
        <item x="168"/>
        <item x="199"/>
        <item x="136"/>
        <item x="419"/>
        <item x="7"/>
        <item x="315"/>
        <item x="347"/>
        <item x="341"/>
        <item x="153"/>
        <item x="455"/>
        <item x="311"/>
        <item x="102"/>
        <item x="263"/>
        <item x="13"/>
        <item x="127"/>
        <item x="147"/>
        <item x="112"/>
        <item x="397"/>
        <item x="24"/>
        <item x="333"/>
        <item x="120"/>
        <item x="244"/>
        <item x="111"/>
        <item x="101"/>
        <item x="464"/>
        <item x="432"/>
        <item x="350"/>
        <item x="485"/>
        <item x="351"/>
        <item x="401"/>
        <item x="472"/>
        <item x="394"/>
        <item x="106"/>
        <item x="425"/>
        <item x="462"/>
        <item x="58"/>
        <item x="481"/>
        <item x="442"/>
        <item x="52"/>
        <item x="275"/>
        <item x="229"/>
        <item x="458"/>
        <item x="390"/>
        <item x="494"/>
        <item x="180"/>
        <item x="38"/>
        <item x="368"/>
        <item x="334"/>
        <item x="258"/>
        <item x="276"/>
        <item x="171"/>
        <item x="133"/>
        <item x="89"/>
        <item x="370"/>
        <item x="198"/>
        <item x="324"/>
        <item x="57"/>
        <item x="287"/>
        <item x="378"/>
        <item x="138"/>
        <item x="336"/>
        <item x="174"/>
        <item x="461"/>
        <item x="260"/>
        <item x="257"/>
        <item x="104"/>
        <item x="71"/>
        <item x="11"/>
        <item x="243"/>
        <item x="145"/>
        <item x="204"/>
        <item x="383"/>
        <item x="192"/>
        <item x="72"/>
        <item x="160"/>
        <item x="189"/>
        <item x="267"/>
        <item x="323"/>
        <item x="73"/>
        <item x="19"/>
        <item x="361"/>
        <item x="274"/>
        <item x="408"/>
        <item x="434"/>
        <item x="487"/>
        <item x="265"/>
        <item x="183"/>
        <item x="246"/>
        <item x="418"/>
        <item x="367"/>
        <item x="0"/>
        <item x="316"/>
        <item x="301"/>
        <item x="32"/>
        <item x="41"/>
        <item x="477"/>
        <item x="51"/>
        <item x="184"/>
        <item x="372"/>
        <item x="172"/>
        <item x="456"/>
        <item x="344"/>
        <item x="345"/>
        <item x="26"/>
        <item x="353"/>
        <item x="85"/>
        <item x="357"/>
        <item x="251"/>
        <item x="227"/>
        <item x="109"/>
        <item x="441"/>
        <item x="68"/>
        <item x="230"/>
        <item x="74"/>
        <item x="154"/>
        <item x="86"/>
        <item x="327"/>
        <item x="170"/>
        <item x="107"/>
        <item x="443"/>
        <item x="331"/>
        <item x="143"/>
        <item x="295"/>
        <item x="371"/>
        <item x="310"/>
        <item x="167"/>
        <item x="423"/>
        <item x="457"/>
        <item x="359"/>
        <item x="2"/>
        <item x="285"/>
        <item x="216"/>
        <item x="280"/>
        <item x="346"/>
        <item x="211"/>
        <item x="340"/>
        <item x="289"/>
        <item x="430"/>
        <item x="415"/>
        <item x="47"/>
        <item x="148"/>
        <item x="65"/>
        <item x="382"/>
        <item x="335"/>
        <item x="460"/>
        <item x="439"/>
        <item x="332"/>
        <item x="377"/>
        <item x="16"/>
        <item x="482"/>
        <item x="241"/>
        <item x="144"/>
        <item x="277"/>
        <item x="483"/>
        <item x="403"/>
        <item x="18"/>
        <item x="67"/>
        <item x="179"/>
        <item x="115"/>
        <item x="325"/>
        <item x="157"/>
        <item x="252"/>
        <item x="467"/>
        <item x="402"/>
        <item x="141"/>
        <item x="55"/>
        <item x="219"/>
        <item x="414"/>
        <item x="130"/>
        <item x="376"/>
        <item x="444"/>
        <item x="396"/>
        <item x="95"/>
        <item x="175"/>
        <item x="330"/>
        <item x="400"/>
        <item x="87"/>
        <item x="282"/>
        <item x="445"/>
        <item x="61"/>
        <item x="30"/>
        <item x="14"/>
        <item x="214"/>
        <item x="245"/>
        <item x="177"/>
        <item x="152"/>
        <item x="307"/>
        <item x="270"/>
        <item x="203"/>
        <item x="64"/>
        <item x="99"/>
        <item x="348"/>
        <item x="191"/>
        <item x="249"/>
        <item x="366"/>
        <item x="422"/>
        <item x="92"/>
        <item x="142"/>
        <item x="122"/>
        <item x="121"/>
        <item x="240"/>
        <item x="223"/>
        <item x="448"/>
        <item x="469"/>
        <item x="48"/>
        <item x="164"/>
        <item x="300"/>
        <item x="119"/>
        <item x="286"/>
        <item x="185"/>
        <item x="314"/>
        <item x="446"/>
        <item x="113"/>
        <item x="228"/>
        <item x="463"/>
        <item x="278"/>
        <item x="139"/>
        <item x="28"/>
        <item x="328"/>
        <item x="40"/>
        <item x="250"/>
        <item x="60"/>
        <item x="62"/>
        <item x="84"/>
        <item x="166"/>
        <item x="317"/>
        <item x="447"/>
        <item x="304"/>
        <item x="405"/>
        <item x="94"/>
        <item x="207"/>
        <item x="255"/>
        <item x="25"/>
        <item x="329"/>
        <item x="297"/>
        <item x="288"/>
        <item x="21"/>
        <item x="253"/>
        <item x="161"/>
        <item x="116"/>
        <item x="421"/>
        <item x="369"/>
        <item x="313"/>
        <item x="268"/>
        <item x="131"/>
        <item x="234"/>
        <item x="364"/>
        <item x="256"/>
        <item x="474"/>
        <item x="451"/>
        <item x="321"/>
        <item x="410"/>
        <item x="3"/>
        <item x="475"/>
        <item x="478"/>
        <item x="356"/>
        <item x="117"/>
        <item x="416"/>
        <item x="233"/>
        <item x="306"/>
        <item x="49"/>
        <item x="188"/>
        <item x="354"/>
        <item x="437"/>
        <item x="81"/>
        <item x="379"/>
        <item x="194"/>
        <item x="79"/>
        <item x="103"/>
        <item x="22"/>
        <item x="298"/>
        <item x="54"/>
        <item x="490"/>
        <item x="93"/>
        <item x="200"/>
        <item x="137"/>
        <item x="387"/>
        <item x="355"/>
        <item x="290"/>
        <item x="215"/>
        <item x="489"/>
        <item x="23"/>
        <item x="134"/>
        <item x="9"/>
        <item x="202"/>
        <item x="12"/>
        <item x="264"/>
        <item x="82"/>
        <item x="386"/>
        <item x="420"/>
        <item x="294"/>
        <item x="385"/>
        <item x="156"/>
        <item x="114"/>
        <item x="129"/>
        <item x="181"/>
        <item x="326"/>
        <item x="358"/>
        <item x="132"/>
        <item x="151"/>
        <item x="363"/>
        <item x="97"/>
        <item x="393"/>
        <item x="338"/>
        <item x="362"/>
        <item x="395"/>
        <item x="146"/>
        <item x="123"/>
        <item x="318"/>
        <item x="308"/>
        <item x="126"/>
        <item x="392"/>
        <item x="128"/>
        <item x="406"/>
        <item x="209"/>
        <item x="429"/>
        <item x="273"/>
        <item x="96"/>
        <item x="178"/>
        <item x="365"/>
        <item x="312"/>
        <item x="480"/>
        <item x="438"/>
        <item x="34"/>
        <item x="46"/>
        <item x="319"/>
        <item x="69"/>
        <item x="279"/>
        <item x="53"/>
        <item x="339"/>
        <item x="404"/>
        <item x="124"/>
        <item x="381"/>
        <item x="173"/>
        <item x="374"/>
        <item x="225"/>
        <item x="88"/>
        <item x="413"/>
        <item x="8"/>
        <item x="42"/>
        <item x="454"/>
        <item x="450"/>
        <item x="426"/>
        <item x="220"/>
        <item x="343"/>
        <item x="424"/>
        <item x="218"/>
        <item x="283"/>
        <item x="449"/>
        <item x="44"/>
        <item x="195"/>
        <item x="491"/>
        <item x="417"/>
        <item x="281"/>
        <item x="108"/>
        <item x="305"/>
        <item x="76"/>
        <item x="248"/>
        <item x="212"/>
        <item x="208"/>
        <item x="291"/>
        <item x="98"/>
        <item x="197"/>
        <item x="452"/>
        <item x="262"/>
        <item x="17"/>
        <item x="210"/>
        <item x="226"/>
        <item x="37"/>
        <item x="375"/>
        <item x="100"/>
        <item x="492"/>
        <item x="471"/>
        <item x="242"/>
        <item x="90"/>
        <item t="default"/>
      </items>
    </pivotField>
    <pivotField dataField="1" showAll="0"/>
    <pivotField numFmtId="164" showAll="0"/>
    <pivotField showAll="0"/>
    <pivotField showAll="0" defaultSubtotal="0">
      <items count="5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s>
    </pivotField>
  </pivotFields>
  <rowFields count="1">
    <field x="4"/>
  </rowFields>
  <rowItems count="6">
    <i>
      <x/>
    </i>
    <i>
      <x v="1"/>
    </i>
    <i>
      <x v="2"/>
    </i>
    <i>
      <x v="3"/>
    </i>
    <i>
      <x v="4"/>
    </i>
    <i t="grand">
      <x/>
    </i>
  </rowItems>
  <colItems count="1">
    <i/>
  </colItems>
  <dataFields count="1">
    <dataField name="Count of Experience" fld="6" subtotal="count" baseField="4" baseItem="0"/>
  </dataField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B5752F-6058-4FBE-9C9C-760CBF338AE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3:A4" firstHeaderRow="1" firstDataRow="1" firstDataCol="0"/>
  <pivotFields count="10">
    <pivotField showAll="0"/>
    <pivotField dataField="1" showAll="0"/>
    <pivotField showAll="0"/>
    <pivotField showAll="0"/>
    <pivotField showAll="0">
      <items count="6">
        <item h="1" x="0"/>
        <item h="1" x="3"/>
        <item h="1" x="4"/>
        <item h="1" x="2"/>
        <item x="1"/>
        <item t="default"/>
      </items>
    </pivotField>
    <pivotField numFmtId="14" showAll="0">
      <items count="496">
        <item x="493"/>
        <item x="236"/>
        <item x="284"/>
        <item x="302"/>
        <item x="293"/>
        <item x="261"/>
        <item x="337"/>
        <item x="266"/>
        <item x="77"/>
        <item x="465"/>
        <item x="150"/>
        <item x="431"/>
        <item x="479"/>
        <item x="190"/>
        <item x="36"/>
        <item x="269"/>
        <item x="27"/>
        <item x="360"/>
        <item x="165"/>
        <item x="440"/>
        <item x="231"/>
        <item x="235"/>
        <item x="433"/>
        <item x="35"/>
        <item x="488"/>
        <item x="182"/>
        <item x="309"/>
        <item x="435"/>
        <item x="476"/>
        <item x="20"/>
        <item x="201"/>
        <item x="349"/>
        <item x="159"/>
        <item x="453"/>
        <item x="391"/>
        <item x="272"/>
        <item x="43"/>
        <item x="10"/>
        <item x="470"/>
        <item x="56"/>
        <item x="484"/>
        <item x="70"/>
        <item x="473"/>
        <item x="186"/>
        <item x="80"/>
        <item x="303"/>
        <item x="238"/>
        <item x="50"/>
        <item x="409"/>
        <item x="158"/>
        <item x="254"/>
        <item x="105"/>
        <item x="140"/>
        <item x="352"/>
        <item x="486"/>
        <item x="31"/>
        <item x="63"/>
        <item x="66"/>
        <item x="373"/>
        <item x="399"/>
        <item x="83"/>
        <item x="221"/>
        <item x="33"/>
        <item x="4"/>
        <item x="59"/>
        <item x="466"/>
        <item x="205"/>
        <item x="398"/>
        <item x="206"/>
        <item x="39"/>
        <item x="388"/>
        <item x="155"/>
        <item x="163"/>
        <item x="224"/>
        <item x="468"/>
        <item x="380"/>
        <item x="428"/>
        <item x="217"/>
        <item x="149"/>
        <item x="110"/>
        <item x="118"/>
        <item x="259"/>
        <item x="427"/>
        <item x="239"/>
        <item x="125"/>
        <item x="292"/>
        <item x="411"/>
        <item x="222"/>
        <item x="1"/>
        <item x="78"/>
        <item x="384"/>
        <item x="29"/>
        <item x="296"/>
        <item x="320"/>
        <item x="232"/>
        <item x="407"/>
        <item x="213"/>
        <item x="299"/>
        <item x="196"/>
        <item x="237"/>
        <item x="342"/>
        <item x="187"/>
        <item x="176"/>
        <item x="322"/>
        <item x="6"/>
        <item x="193"/>
        <item x="91"/>
        <item x="45"/>
        <item x="162"/>
        <item x="5"/>
        <item x="436"/>
        <item x="459"/>
        <item x="15"/>
        <item x="169"/>
        <item x="247"/>
        <item x="412"/>
        <item x="135"/>
        <item x="389"/>
        <item x="75"/>
        <item x="271"/>
        <item x="168"/>
        <item x="199"/>
        <item x="136"/>
        <item x="419"/>
        <item x="7"/>
        <item x="315"/>
        <item x="347"/>
        <item x="341"/>
        <item x="153"/>
        <item x="455"/>
        <item x="311"/>
        <item x="102"/>
        <item x="263"/>
        <item x="13"/>
        <item x="127"/>
        <item x="147"/>
        <item x="112"/>
        <item x="397"/>
        <item x="24"/>
        <item x="333"/>
        <item x="120"/>
        <item x="244"/>
        <item x="111"/>
        <item x="101"/>
        <item x="464"/>
        <item x="432"/>
        <item x="350"/>
        <item x="485"/>
        <item x="351"/>
        <item x="401"/>
        <item x="472"/>
        <item x="394"/>
        <item x="106"/>
        <item x="425"/>
        <item x="462"/>
        <item x="58"/>
        <item x="481"/>
        <item x="442"/>
        <item x="52"/>
        <item x="275"/>
        <item x="229"/>
        <item x="458"/>
        <item x="390"/>
        <item x="494"/>
        <item x="180"/>
        <item x="38"/>
        <item x="368"/>
        <item x="334"/>
        <item x="258"/>
        <item x="276"/>
        <item x="171"/>
        <item x="133"/>
        <item x="89"/>
        <item x="370"/>
        <item x="198"/>
        <item x="324"/>
        <item x="57"/>
        <item x="287"/>
        <item x="378"/>
        <item x="138"/>
        <item x="336"/>
        <item x="174"/>
        <item x="461"/>
        <item x="260"/>
        <item x="257"/>
        <item x="104"/>
        <item x="71"/>
        <item x="11"/>
        <item x="243"/>
        <item x="145"/>
        <item x="204"/>
        <item x="383"/>
        <item x="192"/>
        <item x="72"/>
        <item x="160"/>
        <item x="189"/>
        <item x="267"/>
        <item x="323"/>
        <item x="73"/>
        <item x="19"/>
        <item x="361"/>
        <item x="274"/>
        <item x="408"/>
        <item x="434"/>
        <item x="487"/>
        <item x="265"/>
        <item x="183"/>
        <item x="246"/>
        <item x="418"/>
        <item x="367"/>
        <item x="0"/>
        <item x="316"/>
        <item x="301"/>
        <item x="32"/>
        <item x="41"/>
        <item x="477"/>
        <item x="51"/>
        <item x="184"/>
        <item x="372"/>
        <item x="172"/>
        <item x="456"/>
        <item x="344"/>
        <item x="345"/>
        <item x="26"/>
        <item x="353"/>
        <item x="85"/>
        <item x="357"/>
        <item x="251"/>
        <item x="227"/>
        <item x="109"/>
        <item x="441"/>
        <item x="68"/>
        <item x="230"/>
        <item x="74"/>
        <item x="154"/>
        <item x="86"/>
        <item x="327"/>
        <item x="170"/>
        <item x="107"/>
        <item x="443"/>
        <item x="331"/>
        <item x="143"/>
        <item x="295"/>
        <item x="371"/>
        <item x="310"/>
        <item x="167"/>
        <item x="423"/>
        <item x="457"/>
        <item x="359"/>
        <item x="2"/>
        <item x="285"/>
        <item x="216"/>
        <item x="280"/>
        <item x="346"/>
        <item x="211"/>
        <item x="340"/>
        <item x="289"/>
        <item x="430"/>
        <item x="415"/>
        <item x="47"/>
        <item x="148"/>
        <item x="65"/>
        <item x="382"/>
        <item x="335"/>
        <item x="460"/>
        <item x="439"/>
        <item x="332"/>
        <item x="377"/>
        <item x="16"/>
        <item x="482"/>
        <item x="241"/>
        <item x="144"/>
        <item x="277"/>
        <item x="483"/>
        <item x="403"/>
        <item x="18"/>
        <item x="67"/>
        <item x="179"/>
        <item x="115"/>
        <item x="325"/>
        <item x="157"/>
        <item x="252"/>
        <item x="467"/>
        <item x="402"/>
        <item x="141"/>
        <item x="55"/>
        <item x="219"/>
        <item x="414"/>
        <item x="130"/>
        <item x="376"/>
        <item x="444"/>
        <item x="396"/>
        <item x="95"/>
        <item x="175"/>
        <item x="330"/>
        <item x="400"/>
        <item x="87"/>
        <item x="282"/>
        <item x="445"/>
        <item x="61"/>
        <item x="30"/>
        <item x="14"/>
        <item x="214"/>
        <item x="245"/>
        <item x="177"/>
        <item x="152"/>
        <item x="307"/>
        <item x="270"/>
        <item x="203"/>
        <item x="64"/>
        <item x="99"/>
        <item x="348"/>
        <item x="191"/>
        <item x="249"/>
        <item x="366"/>
        <item x="422"/>
        <item x="92"/>
        <item x="142"/>
        <item x="122"/>
        <item x="121"/>
        <item x="240"/>
        <item x="223"/>
        <item x="448"/>
        <item x="469"/>
        <item x="48"/>
        <item x="164"/>
        <item x="300"/>
        <item x="119"/>
        <item x="286"/>
        <item x="185"/>
        <item x="314"/>
        <item x="446"/>
        <item x="113"/>
        <item x="228"/>
        <item x="463"/>
        <item x="278"/>
        <item x="139"/>
        <item x="28"/>
        <item x="328"/>
        <item x="40"/>
        <item x="250"/>
        <item x="60"/>
        <item x="62"/>
        <item x="84"/>
        <item x="166"/>
        <item x="317"/>
        <item x="447"/>
        <item x="304"/>
        <item x="405"/>
        <item x="94"/>
        <item x="207"/>
        <item x="255"/>
        <item x="25"/>
        <item x="329"/>
        <item x="297"/>
        <item x="288"/>
        <item x="21"/>
        <item x="253"/>
        <item x="161"/>
        <item x="116"/>
        <item x="421"/>
        <item x="369"/>
        <item x="313"/>
        <item x="268"/>
        <item x="131"/>
        <item x="234"/>
        <item x="364"/>
        <item x="256"/>
        <item x="474"/>
        <item x="451"/>
        <item x="321"/>
        <item x="410"/>
        <item x="3"/>
        <item x="475"/>
        <item x="478"/>
        <item x="356"/>
        <item x="117"/>
        <item x="416"/>
        <item x="233"/>
        <item x="306"/>
        <item x="49"/>
        <item x="188"/>
        <item x="354"/>
        <item x="437"/>
        <item x="81"/>
        <item x="379"/>
        <item x="194"/>
        <item x="79"/>
        <item x="103"/>
        <item x="22"/>
        <item x="298"/>
        <item x="54"/>
        <item x="490"/>
        <item x="93"/>
        <item x="200"/>
        <item x="137"/>
        <item x="387"/>
        <item x="355"/>
        <item x="290"/>
        <item x="215"/>
        <item x="489"/>
        <item x="23"/>
        <item x="134"/>
        <item x="9"/>
        <item x="202"/>
        <item x="12"/>
        <item x="264"/>
        <item x="82"/>
        <item x="386"/>
        <item x="420"/>
        <item x="294"/>
        <item x="385"/>
        <item x="156"/>
        <item x="114"/>
        <item x="129"/>
        <item x="181"/>
        <item x="326"/>
        <item x="358"/>
        <item x="132"/>
        <item x="151"/>
        <item x="363"/>
        <item x="97"/>
        <item x="393"/>
        <item x="338"/>
        <item x="362"/>
        <item x="395"/>
        <item x="146"/>
        <item x="123"/>
        <item x="318"/>
        <item x="308"/>
        <item x="126"/>
        <item x="392"/>
        <item x="128"/>
        <item x="406"/>
        <item x="209"/>
        <item x="429"/>
        <item x="273"/>
        <item x="96"/>
        <item x="178"/>
        <item x="365"/>
        <item x="312"/>
        <item x="480"/>
        <item x="438"/>
        <item x="34"/>
        <item x="46"/>
        <item x="319"/>
        <item x="69"/>
        <item x="279"/>
        <item x="53"/>
        <item x="339"/>
        <item x="404"/>
        <item x="124"/>
        <item x="381"/>
        <item x="173"/>
        <item x="374"/>
        <item x="225"/>
        <item x="88"/>
        <item x="413"/>
        <item x="8"/>
        <item x="42"/>
        <item x="454"/>
        <item x="450"/>
        <item x="426"/>
        <item x="220"/>
        <item x="343"/>
        <item x="424"/>
        <item x="218"/>
        <item x="283"/>
        <item x="449"/>
        <item x="44"/>
        <item x="195"/>
        <item x="491"/>
        <item x="417"/>
        <item x="281"/>
        <item x="108"/>
        <item x="305"/>
        <item x="76"/>
        <item x="248"/>
        <item x="212"/>
        <item x="208"/>
        <item x="291"/>
        <item x="98"/>
        <item x="197"/>
        <item x="452"/>
        <item x="262"/>
        <item x="17"/>
        <item x="210"/>
        <item x="226"/>
        <item x="37"/>
        <item x="375"/>
        <item x="100"/>
        <item x="492"/>
        <item x="471"/>
        <item x="242"/>
        <item x="90"/>
        <item t="default"/>
      </items>
    </pivotField>
    <pivotField showAll="0"/>
    <pivotField numFmtId="164" showAll="0"/>
    <pivotField showAll="0"/>
    <pivotField showAll="0" defaultSubtotal="0">
      <items count="5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s>
    </pivotField>
  </pivotFields>
  <rowItems count="1">
    <i/>
  </rowItems>
  <colItems count="1">
    <i/>
  </colItems>
  <dataFields count="1">
    <dataField name="Count of Employee_ID" fld="1" subtotal="count" baseField="4" baseItem="0"/>
  </dataFields>
  <chartFormats count="3">
    <chartFormat chart="0"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27" format="3">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2572D55-3041-4FA4-B552-BB376BC67819}"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7" firstHeaderRow="1" firstDataRow="1" firstDataCol="1"/>
  <pivotFields count="9">
    <pivotField showAll="0"/>
    <pivotField dataField="1" showAll="0"/>
    <pivotField showAll="0"/>
    <pivotField axis="axisRow" showAll="0">
      <items count="4">
        <item x="1"/>
        <item x="0"/>
        <item x="2"/>
        <item t="default"/>
      </items>
    </pivotField>
    <pivotField showAll="0"/>
    <pivotField showAll="0"/>
    <pivotField showAll="0"/>
    <pivotField numFmtId="164" showAll="0"/>
    <pivotField showAll="0"/>
  </pivotFields>
  <rowFields count="1">
    <field x="3"/>
  </rowFields>
  <rowItems count="4">
    <i>
      <x/>
    </i>
    <i>
      <x v="1"/>
    </i>
    <i>
      <x v="2"/>
    </i>
    <i t="grand">
      <x/>
    </i>
  </rowItems>
  <colItems count="1">
    <i/>
  </colItems>
  <dataFields count="1">
    <dataField name="Count of Employee_ID" fld="1" subtotal="count" showDataAs="percentOfTotal" baseField="3" baseItem="0" numFmtId="10"/>
  </dataFields>
  <chartFormats count="12">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3" count="1" selected="0">
            <x v="0"/>
          </reference>
        </references>
      </pivotArea>
    </chartFormat>
    <chartFormat chart="3" format="3">
      <pivotArea type="data" outline="0" fieldPosition="0">
        <references count="2">
          <reference field="4294967294" count="1" selected="0">
            <x v="0"/>
          </reference>
          <reference field="3" count="1" selected="0">
            <x v="1"/>
          </reference>
        </references>
      </pivotArea>
    </chartFormat>
    <chartFormat chart="3" format="4">
      <pivotArea type="data" outline="0" fieldPosition="0">
        <references count="2">
          <reference field="4294967294" count="1" selected="0">
            <x v="0"/>
          </reference>
          <reference field="3" count="1" selected="0">
            <x v="2"/>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12" format="8" series="1">
      <pivotArea type="data" outline="0" fieldPosition="0">
        <references count="1">
          <reference field="4294967294" count="1" selected="0">
            <x v="0"/>
          </reference>
        </references>
      </pivotArea>
    </chartFormat>
    <chartFormat chart="12" format="9">
      <pivotArea type="data" outline="0" fieldPosition="0">
        <references count="2">
          <reference field="4294967294" count="1" selected="0">
            <x v="0"/>
          </reference>
          <reference field="3" count="1" selected="0">
            <x v="0"/>
          </reference>
        </references>
      </pivotArea>
    </chartFormat>
    <chartFormat chart="12" format="10">
      <pivotArea type="data" outline="0" fieldPosition="0">
        <references count="2">
          <reference field="4294967294" count="1" selected="0">
            <x v="0"/>
          </reference>
          <reference field="3" count="1" selected="0">
            <x v="1"/>
          </reference>
        </references>
      </pivotArea>
    </chartFormat>
    <chartFormat chart="12" format="1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40C9A44-C0F2-4AB4-9188-E98E49BD32B7}"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9">
    <pivotField showAll="0"/>
    <pivotField showAll="0"/>
    <pivotField showAll="0"/>
    <pivotField dataField="1" showAll="0">
      <items count="4">
        <item x="1"/>
        <item h="1" x="0"/>
        <item h="1" x="2"/>
        <item t="default"/>
      </items>
    </pivotField>
    <pivotField showAll="0"/>
    <pivotField showAll="0"/>
    <pivotField showAll="0"/>
    <pivotField numFmtId="164" showAll="0"/>
    <pivotField axis="axisRow" showAll="0">
      <items count="7">
        <item x="1"/>
        <item x="2"/>
        <item x="4"/>
        <item x="3"/>
        <item x="0"/>
        <item x="5"/>
        <item t="default"/>
      </items>
    </pivotField>
  </pivotFields>
  <rowFields count="1">
    <field x="8"/>
  </rowFields>
  <rowItems count="6">
    <i>
      <x/>
    </i>
    <i>
      <x v="1"/>
    </i>
    <i>
      <x v="2"/>
    </i>
    <i>
      <x v="3"/>
    </i>
    <i>
      <x v="4"/>
    </i>
    <i t="grand">
      <x/>
    </i>
  </rowItems>
  <colItems count="1">
    <i/>
  </colItems>
  <dataFields count="1">
    <dataField name="Count of Is_Manager" fld="3" subtotal="count" baseField="0" baseItem="0"/>
  </dataFields>
  <chartFormats count="2">
    <chartFormat chart="3" format="6"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89090114-4F6B-4301-963F-E45F80BA4596}" sourceName="Department">
  <pivotTables>
    <pivotTable tabId="23" name="PivotTable1"/>
    <pivotTable tabId="16" name="PivotTable3"/>
  </pivotTables>
  <data>
    <tabular pivotCacheId="1637447594">
      <items count="5">
        <i x="0"/>
        <i x="3"/>
        <i x="4"/>
        <i x="2"/>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82D8CC8F-8D48-4DA5-99FD-381FD180BC94}" sourceName="Age group">
  <pivotTables>
    <pivotTable tabId="18" name="PivotTable5"/>
  </pivotTables>
  <data>
    <tabular pivotCacheId="1637447594">
      <items count="5">
        <i x="1" s="1"/>
        <i x="2" s="1"/>
        <i x="4"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_Manager" xr10:uid="{C8093497-32EB-40C6-91BF-9224B277E22A}" sourceName="Is_Manager">
  <pivotTables>
    <pivotTable tabId="32" name="PivotTable1"/>
  </pivotTables>
  <data>
    <tabular pivotCacheId="1089104523">
      <items count="3">
        <i x="1" s="1"/>
        <i x="0"/>
        <i x="2"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xr10:uid="{77F4E48E-F828-48CB-891B-3B4CC4221863}" cache="Slicer_Age_group" caption="Age group"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94F86FD8-201E-4F4B-AA3B-41B288551E80}" cache="Slicer_Department" caption="Department"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s_Manager" xr10:uid="{418D6649-A25D-4D5F-99D3-A25C9751F4DB}" cache="Slicer_Is_Manager" caption="Is_Manager" rowHeight="25188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4D54D30E-C595-4821-80A6-F36834F3D68B}" cache="Slicer_Department" style="Slicer Style 4" rowHeight="1188720"/>
  <slicer name="Is_Manager 1" xr10:uid="{40DCEB5D-C00A-42F7-8495-F917028A3446}" cache="Slicer_Is_Manager" caption="Is_Manager"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13.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701FF-7BB1-4B6E-A675-5442EED2E061}">
  <dimension ref="A1:H501"/>
  <sheetViews>
    <sheetView workbookViewId="0"/>
  </sheetViews>
  <sheetFormatPr defaultRowHeight="14.5" x14ac:dyDescent="0.35"/>
  <cols>
    <col min="1" max="1" width="5.26953125" bestFit="1" customWidth="1"/>
    <col min="2" max="2" width="11.26953125" bestFit="1" customWidth="1"/>
    <col min="3" max="3" width="4" bestFit="1" customWidth="1"/>
    <col min="4" max="4" width="10.54296875" bestFit="1" customWidth="1"/>
    <col min="5" max="5" width="10.1796875" bestFit="1" customWidth="1"/>
    <col min="6" max="6" width="10.26953125" bestFit="1" customWidth="1"/>
    <col min="7" max="7" width="9.81640625" bestFit="1" customWidth="1"/>
    <col min="8" max="8" width="7" bestFit="1" customWidth="1"/>
  </cols>
  <sheetData>
    <row r="1" spans="1:8" x14ac:dyDescent="0.35">
      <c r="A1" t="s">
        <v>0</v>
      </c>
      <c r="B1" t="s">
        <v>1</v>
      </c>
      <c r="C1" t="s">
        <v>2</v>
      </c>
      <c r="D1" t="s">
        <v>3</v>
      </c>
      <c r="E1" t="s">
        <v>4</v>
      </c>
      <c r="F1" t="s">
        <v>5</v>
      </c>
      <c r="G1" t="s">
        <v>6</v>
      </c>
      <c r="H1" t="s">
        <v>7</v>
      </c>
    </row>
    <row r="2" spans="1:8" x14ac:dyDescent="0.35">
      <c r="A2">
        <v>0</v>
      </c>
      <c r="B2">
        <v>8794</v>
      </c>
      <c r="C2">
        <v>60</v>
      </c>
      <c r="D2" t="s">
        <v>8</v>
      </c>
      <c r="E2" t="b">
        <v>0</v>
      </c>
      <c r="F2" s="1">
        <v>34417</v>
      </c>
      <c r="G2">
        <v>30</v>
      </c>
      <c r="H2">
        <v>238668</v>
      </c>
    </row>
    <row r="3" spans="1:8" x14ac:dyDescent="0.35">
      <c r="A3">
        <v>1</v>
      </c>
      <c r="B3">
        <v>8222</v>
      </c>
      <c r="C3">
        <v>28</v>
      </c>
      <c r="D3" t="s">
        <v>9</v>
      </c>
      <c r="E3" t="b">
        <v>1</v>
      </c>
      <c r="F3" s="1">
        <v>29197</v>
      </c>
      <c r="G3">
        <v>13</v>
      </c>
      <c r="H3">
        <v>105995</v>
      </c>
    </row>
    <row r="4" spans="1:8" x14ac:dyDescent="0.35">
      <c r="A4">
        <v>2</v>
      </c>
      <c r="B4">
        <v>7643</v>
      </c>
      <c r="C4">
        <v>30</v>
      </c>
      <c r="D4" t="s">
        <v>10</v>
      </c>
      <c r="E4" t="b">
        <v>0</v>
      </c>
      <c r="F4" s="1">
        <v>36063</v>
      </c>
      <c r="G4">
        <v>11</v>
      </c>
      <c r="H4">
        <v>96120</v>
      </c>
    </row>
    <row r="5" spans="1:8" x14ac:dyDescent="0.35">
      <c r="A5">
        <v>3</v>
      </c>
      <c r="B5">
        <v>2737</v>
      </c>
      <c r="C5">
        <v>38</v>
      </c>
      <c r="D5" t="s">
        <v>11</v>
      </c>
      <c r="E5" t="b">
        <v>1</v>
      </c>
      <c r="F5" s="1">
        <v>40870</v>
      </c>
      <c r="G5">
        <v>20</v>
      </c>
      <c r="H5">
        <v>153525</v>
      </c>
    </row>
    <row r="6" spans="1:8" x14ac:dyDescent="0.35">
      <c r="A6">
        <v>4</v>
      </c>
      <c r="B6">
        <v>8557</v>
      </c>
      <c r="C6">
        <v>61</v>
      </c>
      <c r="D6" t="s">
        <v>11</v>
      </c>
      <c r="E6" t="b">
        <v>1</v>
      </c>
      <c r="F6" s="1">
        <v>28041</v>
      </c>
      <c r="G6">
        <v>31</v>
      </c>
      <c r="H6">
        <v>249192</v>
      </c>
    </row>
    <row r="7" spans="1:8" x14ac:dyDescent="0.35">
      <c r="A7">
        <v>5</v>
      </c>
      <c r="B7">
        <v>8484</v>
      </c>
      <c r="C7">
        <v>31</v>
      </c>
      <c r="D7" t="s">
        <v>10</v>
      </c>
      <c r="E7" t="b">
        <v>0</v>
      </c>
      <c r="F7" s="1">
        <v>30109</v>
      </c>
      <c r="G7">
        <v>14</v>
      </c>
      <c r="H7">
        <v>112443</v>
      </c>
    </row>
    <row r="8" spans="1:8" x14ac:dyDescent="0.35">
      <c r="A8">
        <v>6</v>
      </c>
      <c r="B8">
        <v>5854</v>
      </c>
      <c r="C8">
        <v>64</v>
      </c>
      <c r="D8" t="s">
        <v>8</v>
      </c>
      <c r="E8" t="b">
        <v>0</v>
      </c>
      <c r="F8" s="1">
        <v>29902</v>
      </c>
      <c r="G8">
        <v>33</v>
      </c>
      <c r="H8">
        <v>269150</v>
      </c>
    </row>
    <row r="9" spans="1:8" x14ac:dyDescent="0.35">
      <c r="A9">
        <v>7</v>
      </c>
      <c r="B9">
        <v>6012</v>
      </c>
      <c r="C9">
        <v>33</v>
      </c>
      <c r="D9" t="s">
        <v>8</v>
      </c>
      <c r="E9" t="b">
        <v>0</v>
      </c>
      <c r="F9" s="1">
        <v>30587</v>
      </c>
      <c r="G9">
        <v>13</v>
      </c>
      <c r="H9">
        <v>99541</v>
      </c>
    </row>
    <row r="10" spans="1:8" x14ac:dyDescent="0.35">
      <c r="A10">
        <v>8</v>
      </c>
      <c r="B10">
        <v>7462</v>
      </c>
      <c r="C10">
        <v>34</v>
      </c>
      <c r="D10" t="s">
        <v>8</v>
      </c>
      <c r="E10" t="b">
        <v>0</v>
      </c>
      <c r="F10" s="1">
        <v>44218</v>
      </c>
      <c r="G10">
        <v>15</v>
      </c>
      <c r="H10">
        <v>119128</v>
      </c>
    </row>
    <row r="11" spans="1:8" x14ac:dyDescent="0.35">
      <c r="A11">
        <v>9</v>
      </c>
      <c r="B11">
        <v>7276</v>
      </c>
      <c r="C11">
        <v>23</v>
      </c>
      <c r="D11" t="s">
        <v>8</v>
      </c>
      <c r="E11" t="b">
        <v>0</v>
      </c>
      <c r="F11" s="1">
        <v>41915</v>
      </c>
      <c r="G11">
        <v>11</v>
      </c>
      <c r="H11">
        <v>83249</v>
      </c>
    </row>
    <row r="12" spans="1:8" x14ac:dyDescent="0.35">
      <c r="A12">
        <v>10</v>
      </c>
      <c r="B12">
        <v>6621</v>
      </c>
      <c r="C12">
        <v>51</v>
      </c>
      <c r="D12" t="s">
        <v>12</v>
      </c>
      <c r="E12" t="b">
        <v>1</v>
      </c>
      <c r="F12" s="1">
        <v>27100</v>
      </c>
      <c r="G12">
        <v>26</v>
      </c>
      <c r="H12">
        <v>201259</v>
      </c>
    </row>
    <row r="13" spans="1:8" x14ac:dyDescent="0.35">
      <c r="A13">
        <v>11</v>
      </c>
      <c r="B13">
        <v>7461</v>
      </c>
      <c r="C13">
        <v>43</v>
      </c>
      <c r="D13" t="s">
        <v>12</v>
      </c>
      <c r="E13" t="b">
        <v>1</v>
      </c>
      <c r="F13" s="1">
        <v>33397</v>
      </c>
      <c r="G13">
        <v>17</v>
      </c>
      <c r="H13">
        <v>144477</v>
      </c>
    </row>
    <row r="14" spans="1:8" x14ac:dyDescent="0.35">
      <c r="A14">
        <v>12</v>
      </c>
      <c r="B14">
        <v>4181</v>
      </c>
      <c r="C14">
        <v>33</v>
      </c>
      <c r="D14" t="s">
        <v>8</v>
      </c>
      <c r="E14" t="b">
        <v>1</v>
      </c>
      <c r="F14" s="1">
        <v>42116</v>
      </c>
      <c r="G14">
        <v>18</v>
      </c>
      <c r="H14">
        <v>148126</v>
      </c>
    </row>
    <row r="15" spans="1:8" x14ac:dyDescent="0.35">
      <c r="A15">
        <v>13</v>
      </c>
      <c r="B15">
        <v>9770</v>
      </c>
      <c r="C15">
        <v>64</v>
      </c>
      <c r="D15" t="s">
        <v>10</v>
      </c>
      <c r="E15" t="b">
        <v>0</v>
      </c>
      <c r="F15" s="1">
        <v>30901</v>
      </c>
      <c r="G15">
        <v>29</v>
      </c>
      <c r="H15">
        <v>237357</v>
      </c>
    </row>
    <row r="16" spans="1:8" x14ac:dyDescent="0.35">
      <c r="A16">
        <v>14</v>
      </c>
      <c r="B16">
        <v>9138</v>
      </c>
      <c r="C16">
        <v>41</v>
      </c>
      <c r="D16" t="s">
        <v>8</v>
      </c>
      <c r="E16" t="b">
        <v>1</v>
      </c>
      <c r="F16" s="1">
        <v>38308</v>
      </c>
      <c r="G16">
        <v>19</v>
      </c>
      <c r="H16">
        <v>158446</v>
      </c>
    </row>
    <row r="17" spans="1:8" x14ac:dyDescent="0.35">
      <c r="A17">
        <v>15</v>
      </c>
      <c r="B17">
        <v>7182</v>
      </c>
      <c r="C17">
        <v>30</v>
      </c>
      <c r="D17" t="s">
        <v>10</v>
      </c>
      <c r="E17" t="b">
        <v>1</v>
      </c>
      <c r="F17" s="1">
        <v>30259</v>
      </c>
      <c r="G17">
        <v>15</v>
      </c>
      <c r="H17">
        <v>124601</v>
      </c>
    </row>
    <row r="18" spans="1:8" x14ac:dyDescent="0.35">
      <c r="A18">
        <v>16</v>
      </c>
      <c r="B18">
        <v>9901</v>
      </c>
      <c r="C18">
        <v>60</v>
      </c>
      <c r="D18" t="s">
        <v>12</v>
      </c>
      <c r="E18" t="b">
        <v>1</v>
      </c>
      <c r="F18" s="1">
        <v>36972</v>
      </c>
      <c r="G18">
        <v>27</v>
      </c>
      <c r="H18">
        <v>209673</v>
      </c>
    </row>
    <row r="19" spans="1:8" x14ac:dyDescent="0.35">
      <c r="A19">
        <v>17</v>
      </c>
      <c r="B19">
        <v>9684</v>
      </c>
      <c r="C19">
        <v>25</v>
      </c>
      <c r="D19" t="s">
        <v>8</v>
      </c>
      <c r="E19" t="b">
        <v>0</v>
      </c>
      <c r="F19" s="1">
        <v>45253</v>
      </c>
      <c r="G19">
        <v>11</v>
      </c>
      <c r="H19">
        <v>88325</v>
      </c>
    </row>
    <row r="20" spans="1:8" x14ac:dyDescent="0.35">
      <c r="A20">
        <v>18</v>
      </c>
      <c r="B20">
        <v>6645</v>
      </c>
      <c r="C20">
        <v>30</v>
      </c>
      <c r="D20" t="s">
        <v>10</v>
      </c>
      <c r="E20" t="b">
        <v>0</v>
      </c>
      <c r="F20" s="1">
        <v>37378</v>
      </c>
      <c r="G20">
        <v>14</v>
      </c>
      <c r="H20">
        <v>117761</v>
      </c>
    </row>
    <row r="21" spans="1:8" x14ac:dyDescent="0.35">
      <c r="A21">
        <v>19</v>
      </c>
      <c r="B21">
        <v>4049</v>
      </c>
      <c r="C21">
        <v>45</v>
      </c>
      <c r="D21" t="s">
        <v>12</v>
      </c>
      <c r="E21" t="b">
        <v>1</v>
      </c>
      <c r="F21" s="1">
        <v>33886</v>
      </c>
      <c r="G21">
        <v>24</v>
      </c>
      <c r="H21">
        <v>193695</v>
      </c>
    </row>
    <row r="22" spans="1:8" x14ac:dyDescent="0.35">
      <c r="A22">
        <v>20</v>
      </c>
      <c r="B22">
        <v>7857</v>
      </c>
      <c r="C22">
        <v>56</v>
      </c>
      <c r="D22" t="s">
        <v>8</v>
      </c>
      <c r="E22" t="b">
        <v>1</v>
      </c>
      <c r="F22" s="1">
        <v>26797</v>
      </c>
      <c r="G22">
        <v>27</v>
      </c>
      <c r="H22">
        <v>223718</v>
      </c>
    </row>
    <row r="23" spans="1:8" x14ac:dyDescent="0.35">
      <c r="A23">
        <v>21</v>
      </c>
      <c r="B23">
        <v>3757</v>
      </c>
      <c r="C23">
        <v>32</v>
      </c>
      <c r="D23" t="s">
        <v>8</v>
      </c>
      <c r="E23" t="b">
        <v>1</v>
      </c>
      <c r="F23" s="1">
        <v>40117</v>
      </c>
      <c r="G23">
        <v>16</v>
      </c>
      <c r="H23">
        <v>136877</v>
      </c>
    </row>
    <row r="24" spans="1:8" x14ac:dyDescent="0.35">
      <c r="A24">
        <v>22</v>
      </c>
      <c r="B24">
        <v>9062</v>
      </c>
      <c r="C24">
        <v>49</v>
      </c>
      <c r="D24" t="s">
        <v>9</v>
      </c>
      <c r="E24" t="b">
        <v>1</v>
      </c>
      <c r="F24" s="1">
        <v>41484</v>
      </c>
      <c r="G24">
        <v>24</v>
      </c>
      <c r="H24">
        <v>201355</v>
      </c>
    </row>
    <row r="25" spans="1:8" x14ac:dyDescent="0.35">
      <c r="A25">
        <v>23</v>
      </c>
      <c r="B25">
        <v>4459</v>
      </c>
      <c r="C25">
        <v>52</v>
      </c>
      <c r="D25" t="s">
        <v>11</v>
      </c>
      <c r="E25" t="b">
        <v>0</v>
      </c>
      <c r="F25" s="1">
        <v>41802</v>
      </c>
      <c r="G25">
        <v>25</v>
      </c>
      <c r="H25">
        <v>197155</v>
      </c>
    </row>
    <row r="26" spans="1:8" x14ac:dyDescent="0.35">
      <c r="A26">
        <v>24</v>
      </c>
      <c r="B26">
        <v>2444</v>
      </c>
      <c r="C26">
        <v>43</v>
      </c>
      <c r="D26" t="s">
        <v>12</v>
      </c>
      <c r="E26" t="b">
        <v>1</v>
      </c>
      <c r="F26" s="1">
        <v>31091</v>
      </c>
      <c r="G26">
        <v>22</v>
      </c>
      <c r="H26">
        <v>181254</v>
      </c>
    </row>
    <row r="27" spans="1:8" x14ac:dyDescent="0.35">
      <c r="A27">
        <v>25</v>
      </c>
      <c r="B27">
        <v>3005</v>
      </c>
      <c r="C27">
        <v>56</v>
      </c>
      <c r="D27" t="s">
        <v>9</v>
      </c>
      <c r="E27" t="b">
        <v>1</v>
      </c>
      <c r="F27" s="1">
        <v>39885</v>
      </c>
      <c r="G27">
        <v>24</v>
      </c>
      <c r="H27">
        <v>197009</v>
      </c>
    </row>
    <row r="28" spans="1:8" x14ac:dyDescent="0.35">
      <c r="A28">
        <v>26</v>
      </c>
      <c r="B28">
        <v>6797</v>
      </c>
      <c r="C28">
        <v>47</v>
      </c>
      <c r="D28" t="s">
        <v>12</v>
      </c>
      <c r="E28" t="b">
        <v>1</v>
      </c>
      <c r="F28" s="1">
        <v>35144</v>
      </c>
      <c r="G28">
        <v>26</v>
      </c>
      <c r="H28">
        <v>201648</v>
      </c>
    </row>
    <row r="29" spans="1:8" x14ac:dyDescent="0.35">
      <c r="A29">
        <v>27</v>
      </c>
      <c r="B29">
        <v>5040</v>
      </c>
      <c r="C29">
        <v>37</v>
      </c>
      <c r="D29" t="s">
        <v>11</v>
      </c>
      <c r="E29" t="b">
        <v>1</v>
      </c>
      <c r="F29" s="1">
        <v>26342</v>
      </c>
      <c r="G29">
        <v>22</v>
      </c>
      <c r="H29">
        <v>186028</v>
      </c>
    </row>
    <row r="30" spans="1:8" x14ac:dyDescent="0.35">
      <c r="A30">
        <v>28</v>
      </c>
      <c r="B30">
        <v>9477</v>
      </c>
      <c r="C30">
        <v>54</v>
      </c>
      <c r="D30" t="s">
        <v>12</v>
      </c>
      <c r="E30" t="b">
        <v>1</v>
      </c>
      <c r="F30" s="1">
        <v>39517</v>
      </c>
      <c r="G30">
        <v>26</v>
      </c>
      <c r="H30">
        <v>201094</v>
      </c>
    </row>
    <row r="31" spans="1:8" x14ac:dyDescent="0.35">
      <c r="A31">
        <v>29</v>
      </c>
      <c r="B31">
        <v>3555</v>
      </c>
      <c r="C31">
        <v>48</v>
      </c>
      <c r="D31" t="s">
        <v>9</v>
      </c>
      <c r="E31" t="b">
        <v>1</v>
      </c>
      <c r="F31" s="1">
        <v>29403</v>
      </c>
      <c r="G31">
        <v>25</v>
      </c>
      <c r="H31">
        <v>192419</v>
      </c>
    </row>
    <row r="32" spans="1:8" x14ac:dyDescent="0.35">
      <c r="A32">
        <v>30</v>
      </c>
      <c r="B32">
        <v>3490</v>
      </c>
      <c r="C32">
        <v>28</v>
      </c>
      <c r="D32" t="s">
        <v>12</v>
      </c>
      <c r="E32" t="b">
        <v>1</v>
      </c>
      <c r="F32" s="1">
        <v>38232</v>
      </c>
      <c r="G32">
        <v>13</v>
      </c>
      <c r="H32">
        <v>103102</v>
      </c>
    </row>
    <row r="33" spans="1:8" x14ac:dyDescent="0.35">
      <c r="A33">
        <v>31</v>
      </c>
      <c r="B33">
        <v>3637</v>
      </c>
      <c r="C33">
        <v>62</v>
      </c>
      <c r="D33" t="s">
        <v>10</v>
      </c>
      <c r="E33" t="b">
        <v>1</v>
      </c>
      <c r="F33" s="1">
        <v>27772</v>
      </c>
      <c r="G33">
        <v>31</v>
      </c>
      <c r="H33">
        <v>248038</v>
      </c>
    </row>
    <row r="34" spans="1:8" x14ac:dyDescent="0.35">
      <c r="A34">
        <v>32</v>
      </c>
      <c r="B34">
        <v>9629</v>
      </c>
      <c r="C34">
        <v>44</v>
      </c>
      <c r="D34" t="s">
        <v>10</v>
      </c>
      <c r="E34" t="b">
        <v>1</v>
      </c>
      <c r="F34" s="1">
        <v>34537</v>
      </c>
      <c r="G34">
        <v>22</v>
      </c>
      <c r="H34">
        <v>178656</v>
      </c>
    </row>
    <row r="35" spans="1:8" x14ac:dyDescent="0.35">
      <c r="A35">
        <v>33</v>
      </c>
      <c r="B35">
        <v>6809</v>
      </c>
      <c r="C35">
        <v>40</v>
      </c>
      <c r="D35" t="s">
        <v>12</v>
      </c>
      <c r="E35" t="b">
        <v>1</v>
      </c>
      <c r="F35" s="1">
        <v>27981</v>
      </c>
      <c r="G35">
        <v>19</v>
      </c>
      <c r="H35">
        <v>149831</v>
      </c>
    </row>
    <row r="36" spans="1:8" x14ac:dyDescent="0.35">
      <c r="A36">
        <v>34</v>
      </c>
      <c r="B36">
        <v>8660</v>
      </c>
      <c r="C36">
        <v>34</v>
      </c>
      <c r="D36" t="s">
        <v>11</v>
      </c>
      <c r="E36" t="b">
        <v>1</v>
      </c>
      <c r="F36" s="1">
        <v>43527</v>
      </c>
      <c r="G36">
        <v>17</v>
      </c>
      <c r="H36">
        <v>137180</v>
      </c>
    </row>
    <row r="37" spans="1:8" x14ac:dyDescent="0.35">
      <c r="A37">
        <v>35</v>
      </c>
      <c r="B37">
        <v>3840</v>
      </c>
      <c r="C37">
        <v>45</v>
      </c>
      <c r="D37" t="s">
        <v>9</v>
      </c>
      <c r="E37" t="b">
        <v>1</v>
      </c>
      <c r="F37" s="1">
        <v>26618</v>
      </c>
      <c r="G37">
        <v>22</v>
      </c>
      <c r="H37">
        <v>173071</v>
      </c>
    </row>
    <row r="38" spans="1:8" x14ac:dyDescent="0.35">
      <c r="A38">
        <v>36</v>
      </c>
      <c r="B38">
        <v>8354</v>
      </c>
      <c r="C38">
        <v>45</v>
      </c>
      <c r="D38" t="s">
        <v>8</v>
      </c>
      <c r="E38" t="b">
        <v>0</v>
      </c>
      <c r="F38" s="1">
        <v>26204</v>
      </c>
      <c r="G38">
        <v>22</v>
      </c>
      <c r="H38">
        <v>177939</v>
      </c>
    </row>
    <row r="39" spans="1:8" x14ac:dyDescent="0.35">
      <c r="A39">
        <v>37</v>
      </c>
      <c r="B39">
        <v>9487</v>
      </c>
      <c r="C39">
        <v>37</v>
      </c>
      <c r="D39" t="s">
        <v>9</v>
      </c>
      <c r="E39" t="b">
        <v>0</v>
      </c>
      <c r="F39" s="1">
        <v>45510</v>
      </c>
      <c r="G39">
        <v>14</v>
      </c>
      <c r="H39">
        <v>115812</v>
      </c>
    </row>
    <row r="40" spans="1:8" x14ac:dyDescent="0.35">
      <c r="A40">
        <v>38</v>
      </c>
      <c r="B40">
        <v>1501</v>
      </c>
      <c r="C40">
        <v>47</v>
      </c>
      <c r="D40" t="s">
        <v>10</v>
      </c>
      <c r="E40" t="b">
        <v>1</v>
      </c>
      <c r="F40" s="1">
        <v>32403</v>
      </c>
      <c r="G40">
        <v>21</v>
      </c>
      <c r="H40">
        <v>159633</v>
      </c>
    </row>
    <row r="41" spans="1:8" x14ac:dyDescent="0.35">
      <c r="A41">
        <v>39</v>
      </c>
      <c r="B41">
        <v>3766</v>
      </c>
      <c r="C41">
        <v>30</v>
      </c>
      <c r="D41" t="s">
        <v>10</v>
      </c>
      <c r="E41" t="b">
        <v>1</v>
      </c>
      <c r="F41" s="1">
        <v>28299</v>
      </c>
      <c r="G41">
        <v>16</v>
      </c>
      <c r="H41">
        <v>132927</v>
      </c>
    </row>
    <row r="42" spans="1:8" x14ac:dyDescent="0.35">
      <c r="A42">
        <v>40</v>
      </c>
      <c r="B42">
        <v>6867</v>
      </c>
      <c r="C42">
        <v>47</v>
      </c>
      <c r="D42" t="s">
        <v>9</v>
      </c>
      <c r="E42" t="b">
        <v>0</v>
      </c>
      <c r="F42" s="1">
        <v>39670</v>
      </c>
      <c r="G42">
        <v>26</v>
      </c>
      <c r="H42">
        <v>208357</v>
      </c>
    </row>
    <row r="43" spans="1:8" x14ac:dyDescent="0.35">
      <c r="A43">
        <v>41</v>
      </c>
      <c r="B43">
        <v>3272</v>
      </c>
      <c r="C43">
        <v>22</v>
      </c>
      <c r="D43" t="s">
        <v>9</v>
      </c>
      <c r="E43" t="b">
        <v>1</v>
      </c>
      <c r="F43" s="1">
        <v>34593</v>
      </c>
      <c r="G43">
        <v>12</v>
      </c>
      <c r="H43">
        <v>98088</v>
      </c>
    </row>
    <row r="44" spans="1:8" x14ac:dyDescent="0.35">
      <c r="A44">
        <v>42</v>
      </c>
      <c r="B44">
        <v>9299</v>
      </c>
      <c r="C44">
        <v>45</v>
      </c>
      <c r="D44" t="s">
        <v>9</v>
      </c>
      <c r="E44" t="b">
        <v>0</v>
      </c>
      <c r="F44" s="1">
        <v>44231</v>
      </c>
      <c r="G44">
        <v>20</v>
      </c>
      <c r="H44">
        <v>162526</v>
      </c>
    </row>
    <row r="45" spans="1:8" x14ac:dyDescent="0.35">
      <c r="A45">
        <v>43</v>
      </c>
      <c r="B45">
        <v>3681</v>
      </c>
      <c r="C45">
        <v>48</v>
      </c>
      <c r="D45" t="s">
        <v>8</v>
      </c>
      <c r="E45" t="b">
        <v>1</v>
      </c>
      <c r="F45" s="1">
        <v>27080</v>
      </c>
      <c r="G45">
        <v>23</v>
      </c>
      <c r="H45">
        <v>182251</v>
      </c>
    </row>
    <row r="46" spans="1:8" x14ac:dyDescent="0.35">
      <c r="A46">
        <v>44</v>
      </c>
      <c r="B46">
        <v>1311</v>
      </c>
      <c r="C46">
        <v>51</v>
      </c>
      <c r="D46" t="s">
        <v>9</v>
      </c>
      <c r="E46" t="b">
        <v>1</v>
      </c>
      <c r="F46" s="1">
        <v>44672</v>
      </c>
      <c r="G46">
        <v>27</v>
      </c>
      <c r="H46">
        <v>222715</v>
      </c>
    </row>
    <row r="47" spans="1:8" x14ac:dyDescent="0.35">
      <c r="A47">
        <v>45</v>
      </c>
      <c r="B47">
        <v>7563</v>
      </c>
      <c r="C47">
        <v>31</v>
      </c>
      <c r="D47" t="s">
        <v>8</v>
      </c>
      <c r="E47" t="b">
        <v>0</v>
      </c>
      <c r="F47" s="1">
        <v>29962</v>
      </c>
      <c r="G47">
        <v>17</v>
      </c>
      <c r="H47">
        <v>133435</v>
      </c>
    </row>
    <row r="48" spans="1:8" x14ac:dyDescent="0.35">
      <c r="A48">
        <v>46</v>
      </c>
      <c r="B48">
        <v>1977</v>
      </c>
      <c r="C48">
        <v>38</v>
      </c>
      <c r="D48" t="s">
        <v>8</v>
      </c>
      <c r="E48" t="b">
        <v>0</v>
      </c>
      <c r="F48" s="1">
        <v>43596</v>
      </c>
      <c r="G48">
        <v>18</v>
      </c>
      <c r="H48">
        <v>130398</v>
      </c>
    </row>
    <row r="49" spans="1:8" x14ac:dyDescent="0.35">
      <c r="A49">
        <v>47</v>
      </c>
      <c r="B49">
        <v>2765</v>
      </c>
      <c r="C49">
        <v>40</v>
      </c>
      <c r="D49" t="s">
        <v>9</v>
      </c>
      <c r="E49" t="b">
        <v>1</v>
      </c>
      <c r="F49" s="1">
        <v>36539</v>
      </c>
      <c r="G49">
        <v>21</v>
      </c>
      <c r="H49">
        <v>164496</v>
      </c>
    </row>
    <row r="50" spans="1:8" x14ac:dyDescent="0.35">
      <c r="A50">
        <v>48</v>
      </c>
      <c r="B50">
        <v>1385</v>
      </c>
      <c r="C50">
        <v>42</v>
      </c>
      <c r="D50" t="s">
        <v>8</v>
      </c>
      <c r="E50" t="b">
        <v>0</v>
      </c>
      <c r="F50" s="1">
        <v>38961</v>
      </c>
      <c r="G50">
        <v>19</v>
      </c>
      <c r="H50">
        <v>158595</v>
      </c>
    </row>
    <row r="51" spans="1:8" x14ac:dyDescent="0.35">
      <c r="A51">
        <v>49</v>
      </c>
      <c r="B51">
        <v>4113</v>
      </c>
      <c r="C51">
        <v>64</v>
      </c>
      <c r="D51" t="s">
        <v>10</v>
      </c>
      <c r="E51" t="b">
        <v>0</v>
      </c>
      <c r="F51" s="1">
        <v>41069</v>
      </c>
      <c r="G51">
        <v>30</v>
      </c>
      <c r="H51">
        <v>236259</v>
      </c>
    </row>
    <row r="52" spans="1:8" x14ac:dyDescent="0.35">
      <c r="A52">
        <v>50</v>
      </c>
      <c r="B52">
        <v>8791</v>
      </c>
      <c r="C52">
        <v>50</v>
      </c>
      <c r="D52" t="s">
        <v>9</v>
      </c>
      <c r="E52" t="b">
        <v>1</v>
      </c>
      <c r="F52" s="1">
        <v>27499</v>
      </c>
      <c r="G52">
        <v>22</v>
      </c>
      <c r="H52">
        <v>174905</v>
      </c>
    </row>
    <row r="53" spans="1:8" x14ac:dyDescent="0.35">
      <c r="A53">
        <v>51</v>
      </c>
      <c r="B53">
        <v>7925</v>
      </c>
      <c r="C53">
        <v>44</v>
      </c>
      <c r="D53" t="s">
        <v>11</v>
      </c>
      <c r="E53" t="b">
        <v>0</v>
      </c>
      <c r="F53" s="1">
        <v>34686</v>
      </c>
      <c r="G53">
        <v>21</v>
      </c>
      <c r="H53">
        <v>161581</v>
      </c>
    </row>
    <row r="54" spans="1:8" x14ac:dyDescent="0.35">
      <c r="A54">
        <v>52</v>
      </c>
      <c r="B54">
        <v>9867</v>
      </c>
      <c r="C54">
        <v>50</v>
      </c>
      <c r="D54" t="s">
        <v>12</v>
      </c>
      <c r="E54" t="b">
        <v>1</v>
      </c>
      <c r="F54" s="1">
        <v>32072</v>
      </c>
      <c r="G54">
        <v>27</v>
      </c>
      <c r="H54">
        <v>210865</v>
      </c>
    </row>
    <row r="55" spans="1:8" x14ac:dyDescent="0.35">
      <c r="A55">
        <v>53</v>
      </c>
      <c r="B55">
        <v>3086</v>
      </c>
      <c r="C55">
        <v>46</v>
      </c>
      <c r="D55" t="s">
        <v>12</v>
      </c>
      <c r="E55" t="b">
        <v>1</v>
      </c>
      <c r="F55" s="1">
        <v>43869</v>
      </c>
      <c r="G55">
        <v>23</v>
      </c>
      <c r="H55">
        <v>187209</v>
      </c>
    </row>
    <row r="56" spans="1:8" x14ac:dyDescent="0.35">
      <c r="A56">
        <v>54</v>
      </c>
      <c r="B56">
        <v>2797</v>
      </c>
      <c r="C56">
        <v>51</v>
      </c>
      <c r="D56" t="s">
        <v>12</v>
      </c>
      <c r="E56" t="b">
        <v>1</v>
      </c>
      <c r="F56" s="1">
        <v>41585</v>
      </c>
      <c r="G56">
        <v>27</v>
      </c>
      <c r="H56">
        <v>216483</v>
      </c>
    </row>
    <row r="57" spans="1:8" x14ac:dyDescent="0.35">
      <c r="A57">
        <v>55</v>
      </c>
      <c r="B57">
        <v>2514</v>
      </c>
      <c r="C57">
        <v>63</v>
      </c>
      <c r="D57" t="s">
        <v>12</v>
      </c>
      <c r="E57" t="b">
        <v>0</v>
      </c>
      <c r="F57" s="1">
        <v>37692</v>
      </c>
      <c r="G57">
        <v>31</v>
      </c>
      <c r="H57">
        <v>241732</v>
      </c>
    </row>
    <row r="58" spans="1:8" x14ac:dyDescent="0.35">
      <c r="A58">
        <v>56</v>
      </c>
      <c r="B58">
        <v>5404</v>
      </c>
      <c r="C58">
        <v>22</v>
      </c>
      <c r="D58" t="s">
        <v>12</v>
      </c>
      <c r="E58" t="b">
        <v>1</v>
      </c>
      <c r="F58" s="1">
        <v>27170</v>
      </c>
      <c r="G58">
        <v>13</v>
      </c>
      <c r="H58">
        <v>100085</v>
      </c>
    </row>
    <row r="59" spans="1:8" x14ac:dyDescent="0.35">
      <c r="A59">
        <v>57</v>
      </c>
      <c r="B59">
        <v>7609</v>
      </c>
      <c r="C59">
        <v>48</v>
      </c>
      <c r="D59" t="s">
        <v>11</v>
      </c>
      <c r="E59" t="b">
        <v>0</v>
      </c>
      <c r="F59" s="1">
        <v>32974</v>
      </c>
      <c r="G59">
        <v>24</v>
      </c>
      <c r="H59">
        <v>196599</v>
      </c>
    </row>
    <row r="60" spans="1:8" x14ac:dyDescent="0.35">
      <c r="A60">
        <v>58</v>
      </c>
      <c r="B60">
        <v>4788</v>
      </c>
      <c r="C60">
        <v>53</v>
      </c>
      <c r="D60" t="s">
        <v>9</v>
      </c>
      <c r="E60" t="b">
        <v>0</v>
      </c>
      <c r="F60" s="1">
        <v>31948</v>
      </c>
      <c r="G60">
        <v>25</v>
      </c>
      <c r="H60">
        <v>203758</v>
      </c>
    </row>
    <row r="61" spans="1:8" x14ac:dyDescent="0.35">
      <c r="A61">
        <v>59</v>
      </c>
      <c r="B61">
        <v>1607</v>
      </c>
      <c r="C61">
        <v>59</v>
      </c>
      <c r="D61" t="s">
        <v>12</v>
      </c>
      <c r="E61" t="b">
        <v>1</v>
      </c>
      <c r="F61" s="1">
        <v>28052</v>
      </c>
      <c r="G61">
        <v>32</v>
      </c>
      <c r="H61">
        <v>254771</v>
      </c>
    </row>
    <row r="62" spans="1:8" x14ac:dyDescent="0.35">
      <c r="A62">
        <v>60</v>
      </c>
      <c r="B62">
        <v>4605</v>
      </c>
      <c r="C62">
        <v>53</v>
      </c>
      <c r="D62" t="s">
        <v>8</v>
      </c>
      <c r="E62" t="b">
        <v>1</v>
      </c>
      <c r="F62" s="1">
        <v>39709</v>
      </c>
      <c r="G62">
        <v>28</v>
      </c>
      <c r="H62">
        <v>221350</v>
      </c>
    </row>
    <row r="63" spans="1:8" x14ac:dyDescent="0.35">
      <c r="A63">
        <v>61</v>
      </c>
      <c r="B63">
        <v>9897</v>
      </c>
      <c r="C63">
        <v>60</v>
      </c>
      <c r="D63" t="s">
        <v>8</v>
      </c>
      <c r="E63" t="b">
        <v>0</v>
      </c>
      <c r="F63" s="1">
        <v>38220</v>
      </c>
      <c r="G63">
        <v>28</v>
      </c>
      <c r="H63">
        <v>227840</v>
      </c>
    </row>
    <row r="64" spans="1:8" x14ac:dyDescent="0.35">
      <c r="A64">
        <v>62</v>
      </c>
      <c r="B64">
        <v>6593</v>
      </c>
      <c r="C64">
        <v>30</v>
      </c>
      <c r="D64" t="s">
        <v>8</v>
      </c>
      <c r="E64" t="b">
        <v>0</v>
      </c>
      <c r="F64" s="1">
        <v>39715</v>
      </c>
      <c r="G64">
        <v>15</v>
      </c>
      <c r="H64">
        <v>118126</v>
      </c>
    </row>
    <row r="65" spans="1:8" x14ac:dyDescent="0.35">
      <c r="A65">
        <v>63</v>
      </c>
      <c r="B65">
        <v>2340</v>
      </c>
      <c r="C65">
        <v>32</v>
      </c>
      <c r="D65" t="s">
        <v>9</v>
      </c>
      <c r="E65" t="b">
        <v>0</v>
      </c>
      <c r="F65" s="1">
        <v>27851</v>
      </c>
      <c r="G65">
        <v>15</v>
      </c>
      <c r="H65">
        <v>124811</v>
      </c>
    </row>
    <row r="66" spans="1:8" x14ac:dyDescent="0.35">
      <c r="A66">
        <v>64</v>
      </c>
      <c r="B66">
        <v>5328</v>
      </c>
      <c r="C66">
        <v>34</v>
      </c>
      <c r="D66" t="s">
        <v>12</v>
      </c>
      <c r="E66" t="b">
        <v>0</v>
      </c>
      <c r="F66" s="1">
        <v>38528</v>
      </c>
      <c r="G66">
        <v>17</v>
      </c>
      <c r="H66">
        <v>138134</v>
      </c>
    </row>
    <row r="67" spans="1:8" x14ac:dyDescent="0.35">
      <c r="A67">
        <v>65</v>
      </c>
      <c r="B67">
        <v>5037</v>
      </c>
      <c r="C67">
        <v>36</v>
      </c>
      <c r="D67" t="s">
        <v>8</v>
      </c>
      <c r="E67" t="b">
        <v>0</v>
      </c>
      <c r="F67" s="1">
        <v>36671</v>
      </c>
      <c r="G67">
        <v>16</v>
      </c>
      <c r="H67">
        <v>127124</v>
      </c>
    </row>
    <row r="68" spans="1:8" x14ac:dyDescent="0.35">
      <c r="A68">
        <v>66</v>
      </c>
      <c r="B68">
        <v>4527</v>
      </c>
      <c r="C68">
        <v>44</v>
      </c>
      <c r="D68" t="s">
        <v>9</v>
      </c>
      <c r="E68" t="b">
        <v>0</v>
      </c>
      <c r="F68" s="1">
        <v>27888</v>
      </c>
      <c r="G68">
        <v>19</v>
      </c>
      <c r="H68">
        <v>151056</v>
      </c>
    </row>
    <row r="69" spans="1:8" x14ac:dyDescent="0.35">
      <c r="A69">
        <v>67</v>
      </c>
      <c r="B69">
        <v>6286</v>
      </c>
      <c r="C69">
        <v>40</v>
      </c>
      <c r="D69" t="s">
        <v>8</v>
      </c>
      <c r="E69" t="b">
        <v>0</v>
      </c>
      <c r="F69" s="1">
        <v>37428</v>
      </c>
      <c r="G69">
        <v>18</v>
      </c>
      <c r="H69">
        <v>135177</v>
      </c>
    </row>
    <row r="70" spans="1:8" x14ac:dyDescent="0.35">
      <c r="A70">
        <v>68</v>
      </c>
      <c r="B70">
        <v>3154</v>
      </c>
      <c r="C70">
        <v>31</v>
      </c>
      <c r="D70" t="s">
        <v>10</v>
      </c>
      <c r="E70" t="b">
        <v>1</v>
      </c>
      <c r="F70" s="1">
        <v>35458</v>
      </c>
      <c r="G70">
        <v>12</v>
      </c>
      <c r="H70">
        <v>99214</v>
      </c>
    </row>
    <row r="71" spans="1:8" x14ac:dyDescent="0.35">
      <c r="A71">
        <v>69</v>
      </c>
      <c r="B71">
        <v>9819</v>
      </c>
      <c r="C71">
        <v>35</v>
      </c>
      <c r="D71" t="s">
        <v>9</v>
      </c>
      <c r="E71" t="b">
        <v>0</v>
      </c>
      <c r="F71" s="1">
        <v>43681</v>
      </c>
      <c r="G71">
        <v>17</v>
      </c>
      <c r="H71">
        <v>133866</v>
      </c>
    </row>
    <row r="72" spans="1:8" x14ac:dyDescent="0.35">
      <c r="A72">
        <v>70</v>
      </c>
      <c r="B72">
        <v>3438</v>
      </c>
      <c r="C72">
        <v>32</v>
      </c>
      <c r="D72" t="s">
        <v>12</v>
      </c>
      <c r="E72" t="b">
        <v>1</v>
      </c>
      <c r="F72" s="1">
        <v>27184</v>
      </c>
      <c r="G72">
        <v>16</v>
      </c>
      <c r="H72">
        <v>127570</v>
      </c>
    </row>
    <row r="73" spans="1:8" x14ac:dyDescent="0.35">
      <c r="A73">
        <v>71</v>
      </c>
      <c r="B73">
        <v>8337</v>
      </c>
      <c r="C73">
        <v>35</v>
      </c>
      <c r="D73" t="s">
        <v>11</v>
      </c>
      <c r="E73" t="b">
        <v>1</v>
      </c>
      <c r="F73" s="1">
        <v>33369</v>
      </c>
      <c r="G73">
        <v>19</v>
      </c>
      <c r="H73">
        <v>140250</v>
      </c>
    </row>
    <row r="74" spans="1:8" x14ac:dyDescent="0.35">
      <c r="A74">
        <v>72</v>
      </c>
      <c r="B74">
        <v>7233</v>
      </c>
      <c r="C74">
        <v>51</v>
      </c>
      <c r="D74" t="s">
        <v>9</v>
      </c>
      <c r="E74" t="b">
        <v>0</v>
      </c>
      <c r="F74" s="1">
        <v>33641</v>
      </c>
      <c r="G74">
        <v>27</v>
      </c>
      <c r="H74">
        <v>212800</v>
      </c>
    </row>
    <row r="75" spans="1:8" x14ac:dyDescent="0.35">
      <c r="A75">
        <v>73</v>
      </c>
      <c r="B75">
        <v>7073</v>
      </c>
      <c r="C75">
        <v>50</v>
      </c>
      <c r="D75" t="s">
        <v>11</v>
      </c>
      <c r="E75" t="b">
        <v>0</v>
      </c>
      <c r="F75" s="1">
        <v>33851</v>
      </c>
      <c r="G75">
        <v>23</v>
      </c>
      <c r="H75">
        <v>191346</v>
      </c>
    </row>
    <row r="76" spans="1:8" x14ac:dyDescent="0.35">
      <c r="A76">
        <v>74</v>
      </c>
      <c r="B76">
        <v>6850</v>
      </c>
      <c r="C76">
        <v>36</v>
      </c>
      <c r="D76" t="s">
        <v>10</v>
      </c>
      <c r="E76" t="b">
        <v>1</v>
      </c>
      <c r="F76" s="1">
        <v>35513</v>
      </c>
      <c r="G76">
        <v>20</v>
      </c>
      <c r="H76">
        <v>160278</v>
      </c>
    </row>
    <row r="77" spans="1:8" x14ac:dyDescent="0.35">
      <c r="A77">
        <v>75</v>
      </c>
      <c r="B77">
        <v>7191</v>
      </c>
      <c r="C77">
        <v>52</v>
      </c>
      <c r="D77" t="s">
        <v>9</v>
      </c>
      <c r="E77" t="b">
        <v>1</v>
      </c>
      <c r="F77" s="1">
        <v>30446</v>
      </c>
      <c r="G77">
        <v>27</v>
      </c>
      <c r="H77">
        <v>217985</v>
      </c>
    </row>
    <row r="78" spans="1:8" x14ac:dyDescent="0.35">
      <c r="A78">
        <v>76</v>
      </c>
      <c r="B78">
        <v>5208</v>
      </c>
      <c r="C78">
        <v>36</v>
      </c>
      <c r="D78" t="s">
        <v>12</v>
      </c>
      <c r="E78" t="b">
        <v>1</v>
      </c>
      <c r="F78" s="1">
        <v>44911</v>
      </c>
      <c r="G78">
        <v>20</v>
      </c>
      <c r="H78">
        <v>172798</v>
      </c>
    </row>
    <row r="79" spans="1:8" x14ac:dyDescent="0.35">
      <c r="A79">
        <v>77</v>
      </c>
      <c r="B79">
        <v>5116</v>
      </c>
      <c r="C79">
        <v>26</v>
      </c>
      <c r="D79" t="s">
        <v>12</v>
      </c>
      <c r="E79" t="b">
        <v>0</v>
      </c>
      <c r="F79" s="1">
        <v>25987</v>
      </c>
      <c r="G79">
        <v>15</v>
      </c>
      <c r="H79">
        <v>120869</v>
      </c>
    </row>
    <row r="80" spans="1:8" x14ac:dyDescent="0.35">
      <c r="A80">
        <v>78</v>
      </c>
      <c r="B80">
        <v>6328</v>
      </c>
      <c r="C80">
        <v>45</v>
      </c>
      <c r="D80" t="s">
        <v>9</v>
      </c>
      <c r="E80" t="b">
        <v>1</v>
      </c>
      <c r="F80" s="1">
        <v>29280</v>
      </c>
      <c r="G80">
        <v>23</v>
      </c>
      <c r="H80">
        <v>186135</v>
      </c>
    </row>
    <row r="81" spans="1:8" x14ac:dyDescent="0.35">
      <c r="A81">
        <v>79</v>
      </c>
      <c r="B81">
        <v>3538</v>
      </c>
      <c r="C81">
        <v>27</v>
      </c>
      <c r="D81" t="s">
        <v>11</v>
      </c>
      <c r="E81" t="b">
        <v>0</v>
      </c>
      <c r="F81" s="1">
        <v>41441</v>
      </c>
      <c r="G81">
        <v>12</v>
      </c>
      <c r="H81">
        <v>107313</v>
      </c>
    </row>
    <row r="82" spans="1:8" x14ac:dyDescent="0.35">
      <c r="A82">
        <v>80</v>
      </c>
      <c r="B82">
        <v>5826</v>
      </c>
      <c r="C82">
        <v>48</v>
      </c>
      <c r="D82" t="s">
        <v>11</v>
      </c>
      <c r="E82" t="b">
        <v>0</v>
      </c>
      <c r="F82" s="1">
        <v>27334</v>
      </c>
      <c r="G82">
        <v>23</v>
      </c>
      <c r="H82">
        <v>189726</v>
      </c>
    </row>
    <row r="83" spans="1:8" x14ac:dyDescent="0.35">
      <c r="A83">
        <v>81</v>
      </c>
      <c r="B83">
        <v>6108</v>
      </c>
      <c r="C83">
        <v>45</v>
      </c>
      <c r="D83" t="s">
        <v>11</v>
      </c>
      <c r="E83" t="b">
        <v>1</v>
      </c>
      <c r="F83" s="1">
        <v>41237</v>
      </c>
      <c r="G83">
        <v>21</v>
      </c>
      <c r="H83">
        <v>171530</v>
      </c>
    </row>
    <row r="84" spans="1:8" x14ac:dyDescent="0.35">
      <c r="A84">
        <v>82</v>
      </c>
      <c r="B84">
        <v>2867</v>
      </c>
      <c r="C84">
        <v>64</v>
      </c>
      <c r="D84" t="s">
        <v>10</v>
      </c>
      <c r="E84" t="b">
        <v>0</v>
      </c>
      <c r="F84" s="1">
        <v>42227</v>
      </c>
      <c r="G84">
        <v>34</v>
      </c>
      <c r="H84">
        <v>271935</v>
      </c>
    </row>
    <row r="85" spans="1:8" x14ac:dyDescent="0.35">
      <c r="A85">
        <v>83</v>
      </c>
      <c r="B85">
        <v>4495</v>
      </c>
      <c r="C85">
        <v>53</v>
      </c>
      <c r="D85" t="s">
        <v>10</v>
      </c>
      <c r="E85" t="b">
        <v>1</v>
      </c>
      <c r="F85" s="1">
        <v>27962</v>
      </c>
      <c r="G85">
        <v>29</v>
      </c>
      <c r="H85">
        <v>234900</v>
      </c>
    </row>
    <row r="86" spans="1:8" x14ac:dyDescent="0.35">
      <c r="A86">
        <v>84</v>
      </c>
      <c r="B86">
        <v>9750</v>
      </c>
      <c r="C86">
        <v>49</v>
      </c>
      <c r="D86" t="s">
        <v>8</v>
      </c>
      <c r="E86" t="b">
        <v>0</v>
      </c>
      <c r="F86" s="1">
        <v>39717</v>
      </c>
      <c r="G86">
        <v>23</v>
      </c>
      <c r="H86">
        <v>181290</v>
      </c>
    </row>
    <row r="87" spans="1:8" x14ac:dyDescent="0.35">
      <c r="A87">
        <v>85</v>
      </c>
      <c r="B87">
        <v>9243</v>
      </c>
      <c r="C87">
        <v>60</v>
      </c>
      <c r="D87" t="s">
        <v>9</v>
      </c>
      <c r="E87" t="b">
        <v>0</v>
      </c>
      <c r="F87" s="1">
        <v>35165</v>
      </c>
      <c r="G87">
        <v>31</v>
      </c>
      <c r="H87">
        <v>246555</v>
      </c>
    </row>
    <row r="88" spans="1:8" x14ac:dyDescent="0.35">
      <c r="A88">
        <v>86</v>
      </c>
      <c r="B88">
        <v>8462</v>
      </c>
      <c r="C88">
        <v>51</v>
      </c>
      <c r="D88" t="s">
        <v>8</v>
      </c>
      <c r="E88" t="b">
        <v>1</v>
      </c>
      <c r="F88" s="1">
        <v>35533</v>
      </c>
      <c r="G88">
        <v>24</v>
      </c>
      <c r="H88">
        <v>191660</v>
      </c>
    </row>
    <row r="89" spans="1:8" x14ac:dyDescent="0.35">
      <c r="A89">
        <v>87</v>
      </c>
      <c r="B89">
        <v>8247</v>
      </c>
      <c r="C89">
        <v>22</v>
      </c>
      <c r="D89" t="s">
        <v>9</v>
      </c>
      <c r="E89" t="b">
        <v>1</v>
      </c>
      <c r="F89" s="1">
        <v>38128</v>
      </c>
      <c r="G89">
        <v>14</v>
      </c>
      <c r="H89">
        <v>111511</v>
      </c>
    </row>
    <row r="90" spans="1:8" x14ac:dyDescent="0.35">
      <c r="A90">
        <v>88</v>
      </c>
      <c r="B90">
        <v>3054</v>
      </c>
      <c r="C90">
        <v>43</v>
      </c>
      <c r="D90" t="s">
        <v>12</v>
      </c>
      <c r="E90" t="b">
        <v>1</v>
      </c>
      <c r="F90" s="1">
        <v>44150</v>
      </c>
      <c r="G90">
        <v>19</v>
      </c>
      <c r="H90">
        <v>148439</v>
      </c>
    </row>
    <row r="91" spans="1:8" x14ac:dyDescent="0.35">
      <c r="A91">
        <v>89</v>
      </c>
      <c r="B91">
        <v>3988</v>
      </c>
      <c r="C91">
        <v>31</v>
      </c>
      <c r="D91" t="s">
        <v>11</v>
      </c>
      <c r="E91" t="b">
        <v>1</v>
      </c>
      <c r="F91" s="1">
        <v>32710</v>
      </c>
      <c r="G91">
        <v>15</v>
      </c>
      <c r="H91">
        <v>120884</v>
      </c>
    </row>
    <row r="92" spans="1:8" x14ac:dyDescent="0.35">
      <c r="A92">
        <v>90</v>
      </c>
      <c r="B92">
        <v>3300</v>
      </c>
      <c r="C92">
        <v>26</v>
      </c>
      <c r="D92" t="s">
        <v>9</v>
      </c>
      <c r="E92" t="b">
        <v>1</v>
      </c>
      <c r="F92" s="1">
        <v>45931</v>
      </c>
      <c r="G92">
        <v>12</v>
      </c>
      <c r="H92">
        <v>94805</v>
      </c>
    </row>
    <row r="93" spans="1:8" x14ac:dyDescent="0.35">
      <c r="A93">
        <v>91</v>
      </c>
      <c r="B93">
        <v>9343</v>
      </c>
      <c r="C93">
        <v>27</v>
      </c>
      <c r="D93" t="s">
        <v>9</v>
      </c>
      <c r="E93" t="b">
        <v>0</v>
      </c>
      <c r="F93" s="1">
        <v>29951</v>
      </c>
      <c r="G93">
        <v>13</v>
      </c>
      <c r="H93">
        <v>97135</v>
      </c>
    </row>
    <row r="94" spans="1:8" x14ac:dyDescent="0.35">
      <c r="A94">
        <v>92</v>
      </c>
      <c r="B94">
        <v>4183</v>
      </c>
      <c r="C94">
        <v>52</v>
      </c>
      <c r="D94" t="s">
        <v>12</v>
      </c>
      <c r="E94" t="b">
        <v>0</v>
      </c>
      <c r="F94" s="1">
        <v>38835</v>
      </c>
      <c r="G94">
        <v>29</v>
      </c>
      <c r="H94">
        <v>220820</v>
      </c>
    </row>
    <row r="95" spans="1:8" x14ac:dyDescent="0.35">
      <c r="A95">
        <v>93</v>
      </c>
      <c r="B95">
        <v>4933</v>
      </c>
      <c r="C95">
        <v>31</v>
      </c>
      <c r="D95" t="s">
        <v>10</v>
      </c>
      <c r="E95" t="b">
        <v>1</v>
      </c>
      <c r="F95" s="1">
        <v>41629</v>
      </c>
      <c r="G95">
        <v>14</v>
      </c>
      <c r="H95">
        <v>118043</v>
      </c>
    </row>
    <row r="96" spans="1:8" x14ac:dyDescent="0.35">
      <c r="A96">
        <v>94</v>
      </c>
      <c r="B96">
        <v>7374</v>
      </c>
      <c r="C96">
        <v>52</v>
      </c>
      <c r="D96" t="s">
        <v>11</v>
      </c>
      <c r="E96" t="b">
        <v>0</v>
      </c>
      <c r="F96" s="1">
        <v>39856</v>
      </c>
      <c r="G96">
        <v>27</v>
      </c>
      <c r="H96">
        <v>223315</v>
      </c>
    </row>
    <row r="97" spans="1:8" x14ac:dyDescent="0.35">
      <c r="A97">
        <v>95</v>
      </c>
      <c r="B97">
        <v>1082</v>
      </c>
      <c r="C97">
        <v>61</v>
      </c>
      <c r="D97" t="s">
        <v>8</v>
      </c>
      <c r="E97" t="b">
        <v>1</v>
      </c>
      <c r="F97" s="1">
        <v>37988</v>
      </c>
      <c r="G97">
        <v>30</v>
      </c>
      <c r="H97">
        <v>246738</v>
      </c>
    </row>
    <row r="98" spans="1:8" x14ac:dyDescent="0.35">
      <c r="A98">
        <v>96</v>
      </c>
      <c r="B98">
        <v>4204</v>
      </c>
      <c r="C98">
        <v>52</v>
      </c>
      <c r="D98" t="s">
        <v>8</v>
      </c>
      <c r="E98" t="b">
        <v>0</v>
      </c>
      <c r="F98" s="1">
        <v>43322</v>
      </c>
      <c r="G98">
        <v>24</v>
      </c>
      <c r="H98">
        <v>191082</v>
      </c>
    </row>
    <row r="99" spans="1:8" x14ac:dyDescent="0.35">
      <c r="A99">
        <v>97</v>
      </c>
      <c r="B99">
        <v>9015</v>
      </c>
      <c r="C99">
        <v>59</v>
      </c>
      <c r="D99" t="s">
        <v>8</v>
      </c>
      <c r="E99" t="b">
        <v>0</v>
      </c>
      <c r="F99" s="1">
        <v>42954</v>
      </c>
      <c r="G99">
        <v>28</v>
      </c>
      <c r="H99">
        <v>225302</v>
      </c>
    </row>
    <row r="100" spans="1:8" x14ac:dyDescent="0.35">
      <c r="A100">
        <v>98</v>
      </c>
      <c r="B100">
        <v>1706</v>
      </c>
      <c r="C100">
        <v>40</v>
      </c>
      <c r="D100" t="s">
        <v>12</v>
      </c>
      <c r="E100" t="b">
        <v>0</v>
      </c>
      <c r="F100" s="1">
        <v>45187</v>
      </c>
      <c r="G100">
        <v>18</v>
      </c>
      <c r="H100">
        <v>142093</v>
      </c>
    </row>
    <row r="101" spans="1:8" x14ac:dyDescent="0.35">
      <c r="A101">
        <v>99</v>
      </c>
      <c r="B101">
        <v>3873</v>
      </c>
      <c r="C101">
        <v>46</v>
      </c>
      <c r="D101" t="s">
        <v>12</v>
      </c>
      <c r="E101" t="b">
        <v>1</v>
      </c>
      <c r="F101" s="1">
        <v>38541</v>
      </c>
      <c r="G101">
        <v>19</v>
      </c>
      <c r="H101">
        <v>156162</v>
      </c>
    </row>
    <row r="102" spans="1:8" x14ac:dyDescent="0.35">
      <c r="A102">
        <v>100</v>
      </c>
      <c r="B102">
        <v>3229</v>
      </c>
      <c r="C102">
        <v>35</v>
      </c>
      <c r="D102" t="s">
        <v>9</v>
      </c>
      <c r="E102" t="b">
        <v>1</v>
      </c>
      <c r="F102" s="1">
        <v>45670</v>
      </c>
      <c r="G102">
        <v>17</v>
      </c>
      <c r="H102">
        <v>134816</v>
      </c>
    </row>
    <row r="103" spans="1:8" x14ac:dyDescent="0.35">
      <c r="A103">
        <v>101</v>
      </c>
      <c r="B103">
        <v>6665</v>
      </c>
      <c r="C103">
        <v>40</v>
      </c>
      <c r="D103" t="s">
        <v>11</v>
      </c>
      <c r="E103" t="b">
        <v>0</v>
      </c>
      <c r="F103" s="1">
        <v>31288</v>
      </c>
      <c r="G103">
        <v>15</v>
      </c>
      <c r="H103">
        <v>122745</v>
      </c>
    </row>
    <row r="104" spans="1:8" x14ac:dyDescent="0.35">
      <c r="A104">
        <v>102</v>
      </c>
      <c r="B104">
        <v>4680</v>
      </c>
      <c r="C104">
        <v>40</v>
      </c>
      <c r="D104" t="s">
        <v>11</v>
      </c>
      <c r="E104" t="b">
        <v>1</v>
      </c>
      <c r="F104" s="1">
        <v>30839</v>
      </c>
      <c r="G104">
        <v>24</v>
      </c>
      <c r="H104">
        <v>186453</v>
      </c>
    </row>
    <row r="105" spans="1:8" x14ac:dyDescent="0.35">
      <c r="A105">
        <v>103</v>
      </c>
      <c r="B105">
        <v>1002</v>
      </c>
      <c r="C105">
        <v>48</v>
      </c>
      <c r="D105" t="s">
        <v>12</v>
      </c>
      <c r="E105" t="b">
        <v>0</v>
      </c>
      <c r="F105" s="1">
        <v>41468</v>
      </c>
      <c r="G105">
        <v>25</v>
      </c>
      <c r="H105">
        <v>199561</v>
      </c>
    </row>
    <row r="106" spans="1:8" x14ac:dyDescent="0.35">
      <c r="A106">
        <v>104</v>
      </c>
      <c r="B106">
        <v>1137</v>
      </c>
      <c r="C106">
        <v>54</v>
      </c>
      <c r="D106" t="s">
        <v>10</v>
      </c>
      <c r="E106" t="b">
        <v>1</v>
      </c>
      <c r="F106" s="1">
        <v>33349</v>
      </c>
      <c r="G106">
        <v>25</v>
      </c>
      <c r="H106">
        <v>204293</v>
      </c>
    </row>
    <row r="107" spans="1:8" x14ac:dyDescent="0.35">
      <c r="A107">
        <v>105</v>
      </c>
      <c r="B107">
        <v>7922</v>
      </c>
      <c r="C107">
        <v>58</v>
      </c>
      <c r="D107" t="s">
        <v>11</v>
      </c>
      <c r="E107" t="b">
        <v>1</v>
      </c>
      <c r="F107" s="1">
        <v>27661</v>
      </c>
      <c r="G107">
        <v>30</v>
      </c>
      <c r="H107">
        <v>242531</v>
      </c>
    </row>
    <row r="108" spans="1:8" x14ac:dyDescent="0.35">
      <c r="A108">
        <v>106</v>
      </c>
      <c r="B108">
        <v>3307</v>
      </c>
      <c r="C108">
        <v>25</v>
      </c>
      <c r="D108" t="s">
        <v>12</v>
      </c>
      <c r="E108" t="b">
        <v>1</v>
      </c>
      <c r="F108" s="1">
        <v>31903</v>
      </c>
      <c r="G108">
        <v>12</v>
      </c>
      <c r="H108">
        <v>103111</v>
      </c>
    </row>
    <row r="109" spans="1:8" x14ac:dyDescent="0.35">
      <c r="A109">
        <v>107</v>
      </c>
      <c r="B109">
        <v>8235</v>
      </c>
      <c r="C109">
        <v>53</v>
      </c>
      <c r="D109" t="s">
        <v>11</v>
      </c>
      <c r="E109" t="b">
        <v>1</v>
      </c>
      <c r="F109" s="1">
        <v>35608</v>
      </c>
      <c r="G109">
        <v>30</v>
      </c>
      <c r="H109">
        <v>237496</v>
      </c>
    </row>
    <row r="110" spans="1:8" x14ac:dyDescent="0.35">
      <c r="A110">
        <v>108</v>
      </c>
      <c r="B110">
        <v>9113</v>
      </c>
      <c r="C110">
        <v>50</v>
      </c>
      <c r="D110" t="s">
        <v>9</v>
      </c>
      <c r="E110" t="b">
        <v>0</v>
      </c>
      <c r="F110" s="1">
        <v>44783</v>
      </c>
      <c r="G110">
        <v>24</v>
      </c>
      <c r="H110">
        <v>193765</v>
      </c>
    </row>
    <row r="111" spans="1:8" x14ac:dyDescent="0.35">
      <c r="A111">
        <v>109</v>
      </c>
      <c r="B111">
        <v>6545</v>
      </c>
      <c r="C111">
        <v>63</v>
      </c>
      <c r="D111" t="s">
        <v>11</v>
      </c>
      <c r="E111" t="b">
        <v>0</v>
      </c>
      <c r="F111" s="1">
        <v>35389</v>
      </c>
      <c r="G111">
        <v>30</v>
      </c>
      <c r="H111">
        <v>240281</v>
      </c>
    </row>
    <row r="112" spans="1:8" x14ac:dyDescent="0.35">
      <c r="A112">
        <v>110</v>
      </c>
      <c r="B112">
        <v>4987</v>
      </c>
      <c r="C112">
        <v>54</v>
      </c>
      <c r="D112" t="s">
        <v>8</v>
      </c>
      <c r="E112" t="b">
        <v>0</v>
      </c>
      <c r="F112" s="1">
        <v>28723</v>
      </c>
      <c r="G112">
        <v>22</v>
      </c>
      <c r="H112">
        <v>176659</v>
      </c>
    </row>
    <row r="113" spans="1:8" x14ac:dyDescent="0.35">
      <c r="A113">
        <v>111</v>
      </c>
      <c r="B113">
        <v>9111</v>
      </c>
      <c r="C113">
        <v>58</v>
      </c>
      <c r="D113" t="s">
        <v>12</v>
      </c>
      <c r="E113" t="b">
        <v>1</v>
      </c>
      <c r="F113" s="1">
        <v>31169</v>
      </c>
      <c r="G113">
        <v>30</v>
      </c>
      <c r="H113">
        <v>244973</v>
      </c>
    </row>
    <row r="114" spans="1:8" x14ac:dyDescent="0.35">
      <c r="A114">
        <v>112</v>
      </c>
      <c r="B114">
        <v>1061</v>
      </c>
      <c r="C114">
        <v>37</v>
      </c>
      <c r="D114" t="s">
        <v>9</v>
      </c>
      <c r="E114" t="b">
        <v>0</v>
      </c>
      <c r="F114" s="1">
        <v>30961</v>
      </c>
      <c r="G114">
        <v>20</v>
      </c>
      <c r="H114">
        <v>160566</v>
      </c>
    </row>
    <row r="115" spans="1:8" x14ac:dyDescent="0.35">
      <c r="A115">
        <v>113</v>
      </c>
      <c r="B115">
        <v>6101</v>
      </c>
      <c r="C115">
        <v>43</v>
      </c>
      <c r="D115" t="s">
        <v>12</v>
      </c>
      <c r="E115" t="b">
        <v>1</v>
      </c>
      <c r="F115" s="1">
        <v>39304</v>
      </c>
      <c r="G115">
        <v>23</v>
      </c>
      <c r="H115">
        <v>177312</v>
      </c>
    </row>
    <row r="116" spans="1:8" x14ac:dyDescent="0.35">
      <c r="A116">
        <v>114</v>
      </c>
      <c r="B116">
        <v>5338</v>
      </c>
      <c r="C116">
        <v>24</v>
      </c>
      <c r="D116" t="s">
        <v>10</v>
      </c>
      <c r="E116" t="b">
        <v>0</v>
      </c>
      <c r="F116" s="1">
        <v>42588</v>
      </c>
      <c r="G116">
        <v>12</v>
      </c>
      <c r="H116">
        <v>92967</v>
      </c>
    </row>
    <row r="117" spans="1:8" x14ac:dyDescent="0.35">
      <c r="A117">
        <v>115</v>
      </c>
      <c r="B117">
        <v>3697</v>
      </c>
      <c r="C117">
        <v>46</v>
      </c>
      <c r="D117" t="s">
        <v>10</v>
      </c>
      <c r="E117" t="b">
        <v>0</v>
      </c>
      <c r="F117" s="1">
        <v>37488</v>
      </c>
      <c r="G117">
        <v>25</v>
      </c>
      <c r="H117">
        <v>208044</v>
      </c>
    </row>
    <row r="118" spans="1:8" x14ac:dyDescent="0.35">
      <c r="A118">
        <v>116</v>
      </c>
      <c r="B118">
        <v>6704</v>
      </c>
      <c r="C118">
        <v>60</v>
      </c>
      <c r="D118" t="s">
        <v>8</v>
      </c>
      <c r="E118" t="b">
        <v>0</v>
      </c>
      <c r="F118" s="1">
        <v>40190</v>
      </c>
      <c r="G118">
        <v>29</v>
      </c>
      <c r="H118">
        <v>225723</v>
      </c>
    </row>
    <row r="119" spans="1:8" x14ac:dyDescent="0.35">
      <c r="A119">
        <v>117</v>
      </c>
      <c r="B119">
        <v>1819</v>
      </c>
      <c r="C119">
        <v>61</v>
      </c>
      <c r="D119" t="s">
        <v>12</v>
      </c>
      <c r="E119" t="b">
        <v>0</v>
      </c>
      <c r="F119" s="1">
        <v>40944</v>
      </c>
      <c r="G119">
        <v>26</v>
      </c>
      <c r="H119">
        <v>208426</v>
      </c>
    </row>
    <row r="120" spans="1:8" x14ac:dyDescent="0.35">
      <c r="A120">
        <v>118</v>
      </c>
      <c r="B120">
        <v>4425</v>
      </c>
      <c r="C120">
        <v>61</v>
      </c>
      <c r="D120" t="s">
        <v>12</v>
      </c>
      <c r="E120" t="b">
        <v>0</v>
      </c>
      <c r="F120" s="1">
        <v>28786</v>
      </c>
      <c r="G120">
        <v>35</v>
      </c>
      <c r="H120">
        <v>279946</v>
      </c>
    </row>
    <row r="121" spans="1:8" x14ac:dyDescent="0.35">
      <c r="A121">
        <v>119</v>
      </c>
      <c r="B121">
        <v>2499</v>
      </c>
      <c r="C121">
        <v>29</v>
      </c>
      <c r="D121" t="s">
        <v>8</v>
      </c>
      <c r="E121" t="b">
        <v>1</v>
      </c>
      <c r="F121" s="1">
        <v>39014</v>
      </c>
      <c r="G121">
        <v>16</v>
      </c>
      <c r="H121">
        <v>129970</v>
      </c>
    </row>
    <row r="122" spans="1:8" x14ac:dyDescent="0.35">
      <c r="A122">
        <v>120</v>
      </c>
      <c r="B122">
        <v>4801</v>
      </c>
      <c r="C122">
        <v>54</v>
      </c>
      <c r="D122" t="s">
        <v>11</v>
      </c>
      <c r="E122" t="b">
        <v>0</v>
      </c>
      <c r="F122" s="1">
        <v>31147</v>
      </c>
      <c r="G122">
        <v>28</v>
      </c>
      <c r="H122">
        <v>225408</v>
      </c>
    </row>
    <row r="123" spans="1:8" x14ac:dyDescent="0.35">
      <c r="A123">
        <v>121</v>
      </c>
      <c r="B123">
        <v>8001</v>
      </c>
      <c r="C123">
        <v>32</v>
      </c>
      <c r="D123" t="s">
        <v>12</v>
      </c>
      <c r="E123" t="b">
        <v>0</v>
      </c>
      <c r="F123" s="1">
        <v>38851</v>
      </c>
      <c r="G123">
        <v>16</v>
      </c>
      <c r="H123">
        <v>125760</v>
      </c>
    </row>
    <row r="124" spans="1:8" x14ac:dyDescent="0.35">
      <c r="A124">
        <v>122</v>
      </c>
      <c r="B124">
        <v>5263</v>
      </c>
      <c r="C124">
        <v>28</v>
      </c>
      <c r="D124" t="s">
        <v>9</v>
      </c>
      <c r="E124" t="b">
        <v>1</v>
      </c>
      <c r="F124" s="1">
        <v>38841</v>
      </c>
      <c r="G124">
        <v>12</v>
      </c>
      <c r="H124">
        <v>92056</v>
      </c>
    </row>
    <row r="125" spans="1:8" x14ac:dyDescent="0.35">
      <c r="A125">
        <v>123</v>
      </c>
      <c r="B125">
        <v>7486</v>
      </c>
      <c r="C125">
        <v>45</v>
      </c>
      <c r="D125" t="s">
        <v>12</v>
      </c>
      <c r="E125" t="b">
        <v>1</v>
      </c>
      <c r="F125" s="1">
        <v>43095</v>
      </c>
      <c r="G125">
        <v>23</v>
      </c>
      <c r="H125">
        <v>186546</v>
      </c>
    </row>
    <row r="126" spans="1:8" x14ac:dyDescent="0.35">
      <c r="A126">
        <v>124</v>
      </c>
      <c r="B126">
        <v>3717</v>
      </c>
      <c r="C126">
        <v>58</v>
      </c>
      <c r="D126" t="s">
        <v>9</v>
      </c>
      <c r="E126" t="b">
        <v>0</v>
      </c>
      <c r="F126" s="1">
        <v>43957</v>
      </c>
      <c r="G126">
        <v>26</v>
      </c>
      <c r="H126">
        <v>215978</v>
      </c>
    </row>
    <row r="127" spans="1:8" x14ac:dyDescent="0.35">
      <c r="A127">
        <v>125</v>
      </c>
      <c r="B127">
        <v>1861</v>
      </c>
      <c r="C127">
        <v>48</v>
      </c>
      <c r="D127" t="s">
        <v>10</v>
      </c>
      <c r="E127" t="b">
        <v>1</v>
      </c>
      <c r="F127" s="1">
        <v>28952</v>
      </c>
      <c r="G127">
        <v>25</v>
      </c>
      <c r="H127">
        <v>185892</v>
      </c>
    </row>
    <row r="128" spans="1:8" x14ac:dyDescent="0.35">
      <c r="A128">
        <v>126</v>
      </c>
      <c r="B128">
        <v>1204</v>
      </c>
      <c r="C128">
        <v>40</v>
      </c>
      <c r="D128" t="s">
        <v>11</v>
      </c>
      <c r="E128" t="b">
        <v>0</v>
      </c>
      <c r="F128" s="1">
        <v>29902</v>
      </c>
      <c r="G128">
        <v>21</v>
      </c>
      <c r="H128">
        <v>158986</v>
      </c>
    </row>
    <row r="129" spans="1:8" x14ac:dyDescent="0.35">
      <c r="A129">
        <v>127</v>
      </c>
      <c r="B129">
        <v>8608</v>
      </c>
      <c r="C129">
        <v>55</v>
      </c>
      <c r="D129" t="s">
        <v>8</v>
      </c>
      <c r="E129" t="b">
        <v>1</v>
      </c>
      <c r="F129" s="1">
        <v>43164</v>
      </c>
      <c r="G129">
        <v>26</v>
      </c>
      <c r="H129">
        <v>202823</v>
      </c>
    </row>
    <row r="130" spans="1:8" x14ac:dyDescent="0.35">
      <c r="A130">
        <v>128</v>
      </c>
      <c r="B130">
        <v>9278</v>
      </c>
      <c r="C130">
        <v>56</v>
      </c>
      <c r="D130" t="s">
        <v>11</v>
      </c>
      <c r="E130" t="b">
        <v>0</v>
      </c>
      <c r="F130" s="1">
        <v>30923</v>
      </c>
      <c r="G130">
        <v>25</v>
      </c>
      <c r="H130">
        <v>198549</v>
      </c>
    </row>
    <row r="131" spans="1:8" x14ac:dyDescent="0.35">
      <c r="A131">
        <v>129</v>
      </c>
      <c r="B131">
        <v>1084</v>
      </c>
      <c r="C131">
        <v>32</v>
      </c>
      <c r="D131" t="s">
        <v>9</v>
      </c>
      <c r="E131" t="b">
        <v>1</v>
      </c>
      <c r="F131" s="1">
        <v>43210</v>
      </c>
      <c r="G131">
        <v>17</v>
      </c>
      <c r="H131">
        <v>142300</v>
      </c>
    </row>
    <row r="132" spans="1:8" x14ac:dyDescent="0.35">
      <c r="A132">
        <v>130</v>
      </c>
      <c r="B132">
        <v>3305</v>
      </c>
      <c r="C132">
        <v>63</v>
      </c>
      <c r="D132" t="s">
        <v>12</v>
      </c>
      <c r="E132" t="b">
        <v>1</v>
      </c>
      <c r="F132" s="1">
        <v>42630</v>
      </c>
      <c r="G132">
        <v>29</v>
      </c>
      <c r="H132">
        <v>232577</v>
      </c>
    </row>
    <row r="133" spans="1:8" x14ac:dyDescent="0.35">
      <c r="A133">
        <v>131</v>
      </c>
      <c r="B133">
        <v>1262</v>
      </c>
      <c r="C133">
        <v>49</v>
      </c>
      <c r="D133" t="s">
        <v>8</v>
      </c>
      <c r="E133" t="b">
        <v>1</v>
      </c>
      <c r="F133" s="1">
        <v>37743</v>
      </c>
      <c r="G133">
        <v>24</v>
      </c>
      <c r="H133">
        <v>196293</v>
      </c>
    </row>
    <row r="134" spans="1:8" x14ac:dyDescent="0.35">
      <c r="A134">
        <v>132</v>
      </c>
      <c r="B134">
        <v>2478</v>
      </c>
      <c r="C134">
        <v>40</v>
      </c>
      <c r="D134" t="s">
        <v>10</v>
      </c>
      <c r="E134" t="b">
        <v>0</v>
      </c>
      <c r="F134" s="1">
        <v>40333</v>
      </c>
      <c r="G134">
        <v>23</v>
      </c>
      <c r="H134">
        <v>185268</v>
      </c>
    </row>
    <row r="135" spans="1:8" x14ac:dyDescent="0.35">
      <c r="A135">
        <v>133</v>
      </c>
      <c r="B135">
        <v>4357</v>
      </c>
      <c r="C135">
        <v>41</v>
      </c>
      <c r="D135" t="s">
        <v>8</v>
      </c>
      <c r="E135" t="b">
        <v>0</v>
      </c>
      <c r="F135" s="1">
        <v>42834</v>
      </c>
      <c r="G135">
        <v>20</v>
      </c>
      <c r="H135">
        <v>166636</v>
      </c>
    </row>
    <row r="136" spans="1:8" x14ac:dyDescent="0.35">
      <c r="A136">
        <v>134</v>
      </c>
      <c r="B136">
        <v>1802</v>
      </c>
      <c r="C136">
        <v>22</v>
      </c>
      <c r="D136" t="s">
        <v>8</v>
      </c>
      <c r="E136" t="b">
        <v>0</v>
      </c>
      <c r="F136" s="1">
        <v>32638</v>
      </c>
      <c r="G136">
        <v>12</v>
      </c>
      <c r="H136">
        <v>94300</v>
      </c>
    </row>
    <row r="137" spans="1:8" x14ac:dyDescent="0.35">
      <c r="A137">
        <v>135</v>
      </c>
      <c r="B137">
        <v>4666</v>
      </c>
      <c r="C137">
        <v>49</v>
      </c>
      <c r="D137" t="s">
        <v>10</v>
      </c>
      <c r="E137" t="b">
        <v>1</v>
      </c>
      <c r="F137" s="1">
        <v>41858</v>
      </c>
      <c r="G137">
        <v>25</v>
      </c>
      <c r="H137">
        <v>198827</v>
      </c>
    </row>
    <row r="138" spans="1:8" x14ac:dyDescent="0.35">
      <c r="A138">
        <v>136</v>
      </c>
      <c r="B138">
        <v>7327</v>
      </c>
      <c r="C138">
        <v>44</v>
      </c>
      <c r="D138" t="s">
        <v>8</v>
      </c>
      <c r="E138" t="b">
        <v>1</v>
      </c>
      <c r="F138" s="1">
        <v>30401</v>
      </c>
      <c r="G138">
        <v>25</v>
      </c>
      <c r="H138">
        <v>190600</v>
      </c>
    </row>
    <row r="139" spans="1:8" x14ac:dyDescent="0.35">
      <c r="A139">
        <v>137</v>
      </c>
      <c r="B139">
        <v>5722</v>
      </c>
      <c r="C139">
        <v>43</v>
      </c>
      <c r="D139" t="s">
        <v>11</v>
      </c>
      <c r="E139" t="b">
        <v>1</v>
      </c>
      <c r="F139" s="1">
        <v>30553</v>
      </c>
      <c r="G139">
        <v>24</v>
      </c>
      <c r="H139">
        <v>187430</v>
      </c>
    </row>
    <row r="140" spans="1:8" x14ac:dyDescent="0.35">
      <c r="A140">
        <v>138</v>
      </c>
      <c r="B140">
        <v>8172</v>
      </c>
      <c r="C140">
        <v>45</v>
      </c>
      <c r="D140" t="s">
        <v>8</v>
      </c>
      <c r="E140" t="b">
        <v>0</v>
      </c>
      <c r="F140" s="1">
        <v>41746</v>
      </c>
      <c r="G140">
        <v>21</v>
      </c>
      <c r="H140">
        <v>166573</v>
      </c>
    </row>
    <row r="141" spans="1:8" x14ac:dyDescent="0.35">
      <c r="A141">
        <v>139</v>
      </c>
      <c r="B141">
        <v>2391</v>
      </c>
      <c r="C141">
        <v>49</v>
      </c>
      <c r="D141" t="s">
        <v>11</v>
      </c>
      <c r="E141" t="b">
        <v>1</v>
      </c>
      <c r="F141" s="1">
        <v>33181</v>
      </c>
      <c r="G141">
        <v>22</v>
      </c>
      <c r="H141">
        <v>176961</v>
      </c>
    </row>
    <row r="142" spans="1:8" x14ac:dyDescent="0.35">
      <c r="A142">
        <v>140</v>
      </c>
      <c r="B142">
        <v>3536</v>
      </c>
      <c r="C142">
        <v>54</v>
      </c>
      <c r="D142" t="s">
        <v>12</v>
      </c>
      <c r="E142" t="b">
        <v>1</v>
      </c>
      <c r="F142" s="1">
        <v>39501</v>
      </c>
      <c r="G142">
        <v>25</v>
      </c>
      <c r="H142">
        <v>206014</v>
      </c>
    </row>
    <row r="143" spans="1:8" x14ac:dyDescent="0.35">
      <c r="A143">
        <v>141</v>
      </c>
      <c r="B143">
        <v>7770</v>
      </c>
      <c r="C143">
        <v>43</v>
      </c>
      <c r="D143" t="s">
        <v>9</v>
      </c>
      <c r="E143" t="b">
        <v>1</v>
      </c>
      <c r="F143" s="1">
        <v>27694</v>
      </c>
      <c r="G143">
        <v>21</v>
      </c>
      <c r="H143">
        <v>167653</v>
      </c>
    </row>
    <row r="144" spans="1:8" x14ac:dyDescent="0.35">
      <c r="A144">
        <v>142</v>
      </c>
      <c r="B144">
        <v>1571</v>
      </c>
      <c r="C144">
        <v>34</v>
      </c>
      <c r="D144" t="s">
        <v>12</v>
      </c>
      <c r="E144" t="b">
        <v>0</v>
      </c>
      <c r="F144" s="1">
        <v>37686</v>
      </c>
      <c r="G144">
        <v>17</v>
      </c>
      <c r="H144">
        <v>138491</v>
      </c>
    </row>
    <row r="145" spans="1:8" x14ac:dyDescent="0.35">
      <c r="A145">
        <v>143</v>
      </c>
      <c r="B145">
        <v>2558</v>
      </c>
      <c r="C145">
        <v>29</v>
      </c>
      <c r="D145" t="s">
        <v>10</v>
      </c>
      <c r="E145" t="b">
        <v>1</v>
      </c>
      <c r="F145" s="1">
        <v>27772</v>
      </c>
      <c r="G145">
        <v>14</v>
      </c>
      <c r="H145">
        <v>113663</v>
      </c>
    </row>
    <row r="146" spans="1:8" x14ac:dyDescent="0.35">
      <c r="A146">
        <v>144</v>
      </c>
      <c r="B146">
        <v>1197</v>
      </c>
      <c r="C146">
        <v>57</v>
      </c>
      <c r="D146" t="s">
        <v>9</v>
      </c>
      <c r="E146" t="b">
        <v>1</v>
      </c>
      <c r="F146" s="1">
        <v>38839</v>
      </c>
      <c r="G146">
        <v>25</v>
      </c>
      <c r="H146">
        <v>195286</v>
      </c>
    </row>
    <row r="147" spans="1:8" x14ac:dyDescent="0.35">
      <c r="A147">
        <v>145</v>
      </c>
      <c r="B147">
        <v>4842</v>
      </c>
      <c r="C147">
        <v>55</v>
      </c>
      <c r="D147" t="s">
        <v>9</v>
      </c>
      <c r="E147" t="b">
        <v>1</v>
      </c>
      <c r="F147" s="1">
        <v>35883</v>
      </c>
      <c r="G147">
        <v>27</v>
      </c>
      <c r="H147">
        <v>215637</v>
      </c>
    </row>
    <row r="148" spans="1:8" x14ac:dyDescent="0.35">
      <c r="A148">
        <v>146</v>
      </c>
      <c r="B148">
        <v>1809</v>
      </c>
      <c r="C148">
        <v>43</v>
      </c>
      <c r="D148" t="s">
        <v>8</v>
      </c>
      <c r="E148" t="b">
        <v>1</v>
      </c>
      <c r="F148" s="1">
        <v>37078</v>
      </c>
      <c r="G148">
        <v>21</v>
      </c>
      <c r="H148">
        <v>170164</v>
      </c>
    </row>
    <row r="149" spans="1:8" x14ac:dyDescent="0.35">
      <c r="A149">
        <v>147</v>
      </c>
      <c r="B149">
        <v>2304</v>
      </c>
      <c r="C149">
        <v>57</v>
      </c>
      <c r="D149" t="s">
        <v>10</v>
      </c>
      <c r="E149" t="b">
        <v>0</v>
      </c>
      <c r="F149" s="1">
        <v>33494</v>
      </c>
      <c r="G149">
        <v>30</v>
      </c>
      <c r="H149">
        <v>240851</v>
      </c>
    </row>
    <row r="150" spans="1:8" x14ac:dyDescent="0.35">
      <c r="A150">
        <v>148</v>
      </c>
      <c r="B150">
        <v>2759</v>
      </c>
      <c r="C150">
        <v>24</v>
      </c>
      <c r="D150" t="s">
        <v>12</v>
      </c>
      <c r="E150" t="b">
        <v>0</v>
      </c>
      <c r="F150" s="1">
        <v>43082</v>
      </c>
      <c r="G150">
        <v>9</v>
      </c>
      <c r="H150">
        <v>78650</v>
      </c>
    </row>
    <row r="151" spans="1:8" x14ac:dyDescent="0.35">
      <c r="A151">
        <v>149</v>
      </c>
      <c r="B151">
        <v>8278</v>
      </c>
      <c r="C151">
        <v>25</v>
      </c>
      <c r="D151" t="s">
        <v>9</v>
      </c>
      <c r="E151" t="b">
        <v>1</v>
      </c>
      <c r="F151" s="1">
        <v>30936</v>
      </c>
      <c r="G151">
        <v>13</v>
      </c>
      <c r="H151">
        <v>101767</v>
      </c>
    </row>
    <row r="152" spans="1:8" x14ac:dyDescent="0.35">
      <c r="A152">
        <v>150</v>
      </c>
      <c r="B152">
        <v>3797</v>
      </c>
      <c r="C152">
        <v>57</v>
      </c>
      <c r="D152" t="s">
        <v>10</v>
      </c>
      <c r="E152" t="b">
        <v>0</v>
      </c>
      <c r="F152" s="1">
        <v>36603</v>
      </c>
      <c r="G152">
        <v>30</v>
      </c>
      <c r="H152">
        <v>237787</v>
      </c>
    </row>
    <row r="153" spans="1:8" x14ac:dyDescent="0.35">
      <c r="A153">
        <v>151</v>
      </c>
      <c r="B153">
        <v>1475</v>
      </c>
      <c r="C153">
        <v>33</v>
      </c>
      <c r="D153" t="s">
        <v>10</v>
      </c>
      <c r="E153" t="b">
        <v>0</v>
      </c>
      <c r="F153" s="1">
        <v>28719</v>
      </c>
      <c r="G153">
        <v>15</v>
      </c>
      <c r="H153">
        <v>120289</v>
      </c>
    </row>
    <row r="154" spans="1:8" x14ac:dyDescent="0.35">
      <c r="A154">
        <v>152</v>
      </c>
      <c r="B154">
        <v>4165</v>
      </c>
      <c r="C154">
        <v>59</v>
      </c>
      <c r="D154" t="s">
        <v>11</v>
      </c>
      <c r="E154" t="b">
        <v>1</v>
      </c>
      <c r="F154" s="1">
        <v>26069</v>
      </c>
      <c r="G154">
        <v>29</v>
      </c>
      <c r="H154">
        <v>229854</v>
      </c>
    </row>
    <row r="155" spans="1:8" x14ac:dyDescent="0.35">
      <c r="A155">
        <v>153</v>
      </c>
      <c r="B155">
        <v>3292</v>
      </c>
      <c r="C155">
        <v>33</v>
      </c>
      <c r="D155" t="s">
        <v>12</v>
      </c>
      <c r="E155" t="b">
        <v>0</v>
      </c>
      <c r="F155" s="1">
        <v>42923</v>
      </c>
      <c r="G155">
        <v>16</v>
      </c>
      <c r="H155">
        <v>140462</v>
      </c>
    </row>
    <row r="156" spans="1:8" x14ac:dyDescent="0.35">
      <c r="A156">
        <v>154</v>
      </c>
      <c r="B156">
        <v>1740</v>
      </c>
      <c r="C156">
        <v>35</v>
      </c>
      <c r="D156" t="s">
        <v>9</v>
      </c>
      <c r="E156" t="b">
        <v>1</v>
      </c>
      <c r="F156" s="1">
        <v>38381</v>
      </c>
      <c r="G156">
        <v>17</v>
      </c>
      <c r="H156">
        <v>137966</v>
      </c>
    </row>
    <row r="157" spans="1:8" x14ac:dyDescent="0.35">
      <c r="A157">
        <v>155</v>
      </c>
      <c r="B157">
        <v>5139</v>
      </c>
      <c r="C157">
        <v>48</v>
      </c>
      <c r="D157" t="s">
        <v>11</v>
      </c>
      <c r="E157" t="b">
        <v>1</v>
      </c>
      <c r="F157" s="1">
        <v>30791</v>
      </c>
      <c r="G157">
        <v>26</v>
      </c>
      <c r="H157">
        <v>198685</v>
      </c>
    </row>
    <row r="158" spans="1:8" x14ac:dyDescent="0.35">
      <c r="A158">
        <v>156</v>
      </c>
      <c r="B158">
        <v>4522</v>
      </c>
      <c r="C158">
        <v>31</v>
      </c>
      <c r="D158" t="s">
        <v>10</v>
      </c>
      <c r="E158" t="b">
        <v>0</v>
      </c>
      <c r="F158" s="1">
        <v>35517</v>
      </c>
      <c r="G158">
        <v>13</v>
      </c>
      <c r="H158">
        <v>97639</v>
      </c>
    </row>
    <row r="159" spans="1:8" x14ac:dyDescent="0.35">
      <c r="A159">
        <v>157</v>
      </c>
      <c r="B159">
        <v>2227</v>
      </c>
      <c r="C159">
        <v>51</v>
      </c>
      <c r="D159" t="s">
        <v>9</v>
      </c>
      <c r="E159" t="b">
        <v>1</v>
      </c>
      <c r="F159" s="1">
        <v>28392</v>
      </c>
      <c r="G159">
        <v>27</v>
      </c>
      <c r="H159">
        <v>213234</v>
      </c>
    </row>
    <row r="160" spans="1:8" x14ac:dyDescent="0.35">
      <c r="A160">
        <v>158</v>
      </c>
      <c r="B160">
        <v>1859</v>
      </c>
      <c r="C160">
        <v>58</v>
      </c>
      <c r="D160" t="s">
        <v>8</v>
      </c>
      <c r="E160" t="b">
        <v>1</v>
      </c>
      <c r="F160" s="1">
        <v>42523</v>
      </c>
      <c r="G160">
        <v>27</v>
      </c>
      <c r="H160">
        <v>223033</v>
      </c>
    </row>
    <row r="161" spans="1:8" x14ac:dyDescent="0.35">
      <c r="A161">
        <v>159</v>
      </c>
      <c r="B161">
        <v>9580</v>
      </c>
      <c r="C161">
        <v>57</v>
      </c>
      <c r="D161" t="s">
        <v>8</v>
      </c>
      <c r="E161" t="b">
        <v>0</v>
      </c>
      <c r="F161" s="1">
        <v>37502</v>
      </c>
      <c r="G161">
        <v>30</v>
      </c>
      <c r="H161">
        <v>234249</v>
      </c>
    </row>
    <row r="162" spans="1:8" x14ac:dyDescent="0.35">
      <c r="A162">
        <v>160</v>
      </c>
      <c r="B162">
        <v>7166</v>
      </c>
      <c r="C162">
        <v>45</v>
      </c>
      <c r="D162" t="s">
        <v>11</v>
      </c>
      <c r="E162" t="b">
        <v>1</v>
      </c>
      <c r="F162" s="1">
        <v>27616</v>
      </c>
      <c r="G162">
        <v>21</v>
      </c>
      <c r="H162">
        <v>172147</v>
      </c>
    </row>
    <row r="163" spans="1:8" x14ac:dyDescent="0.35">
      <c r="A163">
        <v>161</v>
      </c>
      <c r="B163">
        <v>2383</v>
      </c>
      <c r="C163">
        <v>35</v>
      </c>
      <c r="D163" t="s">
        <v>11</v>
      </c>
      <c r="E163" t="b">
        <v>1</v>
      </c>
      <c r="F163" s="1">
        <v>26897</v>
      </c>
      <c r="G163">
        <v>14</v>
      </c>
      <c r="H163">
        <v>110715</v>
      </c>
    </row>
    <row r="164" spans="1:8" x14ac:dyDescent="0.35">
      <c r="A164">
        <v>162</v>
      </c>
      <c r="B164">
        <v>7950</v>
      </c>
      <c r="C164">
        <v>50</v>
      </c>
      <c r="D164" t="s">
        <v>12</v>
      </c>
      <c r="E164" t="b">
        <v>1</v>
      </c>
      <c r="F164" s="1">
        <v>33668</v>
      </c>
      <c r="G164">
        <v>23</v>
      </c>
      <c r="H164">
        <v>181074</v>
      </c>
    </row>
    <row r="165" spans="1:8" x14ac:dyDescent="0.35">
      <c r="A165">
        <v>163</v>
      </c>
      <c r="B165">
        <v>5231</v>
      </c>
      <c r="C165">
        <v>48</v>
      </c>
      <c r="D165" t="s">
        <v>12</v>
      </c>
      <c r="E165" t="b">
        <v>1</v>
      </c>
      <c r="F165" s="1">
        <v>40165</v>
      </c>
      <c r="G165">
        <v>22</v>
      </c>
      <c r="H165">
        <v>172103</v>
      </c>
    </row>
    <row r="166" spans="1:8" x14ac:dyDescent="0.35">
      <c r="A166">
        <v>164</v>
      </c>
      <c r="B166">
        <v>3709</v>
      </c>
      <c r="C166">
        <v>32</v>
      </c>
      <c r="D166" t="s">
        <v>12</v>
      </c>
      <c r="E166" t="b">
        <v>0</v>
      </c>
      <c r="F166" s="1">
        <v>29983</v>
      </c>
      <c r="G166">
        <v>15</v>
      </c>
      <c r="H166">
        <v>121991</v>
      </c>
    </row>
    <row r="167" spans="1:8" x14ac:dyDescent="0.35">
      <c r="A167">
        <v>165</v>
      </c>
      <c r="B167">
        <v>5077</v>
      </c>
      <c r="C167">
        <v>49</v>
      </c>
      <c r="D167" t="s">
        <v>8</v>
      </c>
      <c r="E167" t="b">
        <v>0</v>
      </c>
      <c r="F167" s="1">
        <v>28454</v>
      </c>
      <c r="G167">
        <v>20</v>
      </c>
      <c r="H167">
        <v>174787</v>
      </c>
    </row>
    <row r="168" spans="1:8" x14ac:dyDescent="0.35">
      <c r="A168">
        <v>166</v>
      </c>
      <c r="B168">
        <v>8159</v>
      </c>
      <c r="C168">
        <v>52</v>
      </c>
      <c r="D168" t="s">
        <v>12</v>
      </c>
      <c r="E168" t="b">
        <v>0</v>
      </c>
      <c r="F168" s="1">
        <v>38987</v>
      </c>
      <c r="G168">
        <v>25</v>
      </c>
      <c r="H168">
        <v>200675</v>
      </c>
    </row>
    <row r="169" spans="1:8" x14ac:dyDescent="0.35">
      <c r="A169">
        <v>167</v>
      </c>
      <c r="B169">
        <v>2327</v>
      </c>
      <c r="C169">
        <v>35</v>
      </c>
      <c r="D169" t="s">
        <v>11</v>
      </c>
      <c r="E169" t="b">
        <v>0</v>
      </c>
      <c r="F169" s="1">
        <v>26440</v>
      </c>
      <c r="G169">
        <v>17</v>
      </c>
      <c r="H169">
        <v>144719</v>
      </c>
    </row>
    <row r="170" spans="1:8" x14ac:dyDescent="0.35">
      <c r="A170">
        <v>168</v>
      </c>
      <c r="B170">
        <v>8869</v>
      </c>
      <c r="C170">
        <v>51</v>
      </c>
      <c r="D170" t="s">
        <v>10</v>
      </c>
      <c r="E170" t="b">
        <v>0</v>
      </c>
      <c r="F170" s="1">
        <v>39718</v>
      </c>
      <c r="G170">
        <v>25</v>
      </c>
      <c r="H170">
        <v>198755</v>
      </c>
    </row>
    <row r="171" spans="1:8" x14ac:dyDescent="0.35">
      <c r="A171">
        <v>169</v>
      </c>
      <c r="B171">
        <v>1184</v>
      </c>
      <c r="C171">
        <v>44</v>
      </c>
      <c r="D171" t="s">
        <v>11</v>
      </c>
      <c r="E171" t="b">
        <v>1</v>
      </c>
      <c r="F171" s="1">
        <v>36012</v>
      </c>
      <c r="G171">
        <v>19</v>
      </c>
      <c r="H171">
        <v>150320</v>
      </c>
    </row>
    <row r="172" spans="1:8" x14ac:dyDescent="0.35">
      <c r="A172">
        <v>170</v>
      </c>
      <c r="B172">
        <v>5290</v>
      </c>
      <c r="C172">
        <v>52</v>
      </c>
      <c r="D172" t="s">
        <v>10</v>
      </c>
      <c r="E172" t="b">
        <v>1</v>
      </c>
      <c r="F172" s="1">
        <v>30523</v>
      </c>
      <c r="G172">
        <v>25</v>
      </c>
      <c r="H172">
        <v>196697</v>
      </c>
    </row>
    <row r="173" spans="1:8" x14ac:dyDescent="0.35">
      <c r="A173">
        <v>171</v>
      </c>
      <c r="B173">
        <v>3041</v>
      </c>
      <c r="C173">
        <v>29</v>
      </c>
      <c r="D173" t="s">
        <v>8</v>
      </c>
      <c r="E173" t="b">
        <v>1</v>
      </c>
      <c r="F173" s="1">
        <v>30304</v>
      </c>
      <c r="G173">
        <v>16</v>
      </c>
      <c r="H173">
        <v>133598</v>
      </c>
    </row>
    <row r="174" spans="1:8" x14ac:dyDescent="0.35">
      <c r="A174">
        <v>172</v>
      </c>
      <c r="B174">
        <v>3995</v>
      </c>
      <c r="C174">
        <v>38</v>
      </c>
      <c r="D174" t="s">
        <v>11</v>
      </c>
      <c r="E174" t="b">
        <v>0</v>
      </c>
      <c r="F174" s="1">
        <v>35581</v>
      </c>
      <c r="G174">
        <v>18</v>
      </c>
      <c r="H174">
        <v>152005</v>
      </c>
    </row>
    <row r="175" spans="1:8" x14ac:dyDescent="0.35">
      <c r="A175">
        <v>173</v>
      </c>
      <c r="B175">
        <v>3870</v>
      </c>
      <c r="C175">
        <v>30</v>
      </c>
      <c r="D175" t="s">
        <v>12</v>
      </c>
      <c r="E175" t="b">
        <v>1</v>
      </c>
      <c r="F175" s="1">
        <v>32602</v>
      </c>
      <c r="G175">
        <v>17</v>
      </c>
      <c r="H175">
        <v>127810</v>
      </c>
    </row>
    <row r="176" spans="1:8" x14ac:dyDescent="0.35">
      <c r="A176">
        <v>174</v>
      </c>
      <c r="B176">
        <v>7949</v>
      </c>
      <c r="C176">
        <v>59</v>
      </c>
      <c r="D176" t="s">
        <v>11</v>
      </c>
      <c r="E176" t="b">
        <v>0</v>
      </c>
      <c r="F176" s="1">
        <v>34971</v>
      </c>
      <c r="G176">
        <v>31</v>
      </c>
      <c r="H176">
        <v>245029</v>
      </c>
    </row>
    <row r="177" spans="1:8" x14ac:dyDescent="0.35">
      <c r="A177">
        <v>175</v>
      </c>
      <c r="B177">
        <v>3635</v>
      </c>
      <c r="C177">
        <v>40</v>
      </c>
      <c r="D177" t="s">
        <v>9</v>
      </c>
      <c r="E177" t="b">
        <v>1</v>
      </c>
      <c r="F177" s="1">
        <v>43994</v>
      </c>
      <c r="G177">
        <v>20</v>
      </c>
      <c r="H177">
        <v>159567</v>
      </c>
    </row>
    <row r="178" spans="1:8" x14ac:dyDescent="0.35">
      <c r="A178">
        <v>176</v>
      </c>
      <c r="B178">
        <v>5679</v>
      </c>
      <c r="C178">
        <v>38</v>
      </c>
      <c r="D178" t="s">
        <v>10</v>
      </c>
      <c r="E178" t="b">
        <v>1</v>
      </c>
      <c r="F178" s="1">
        <v>33255</v>
      </c>
      <c r="G178">
        <v>20</v>
      </c>
      <c r="H178">
        <v>165488</v>
      </c>
    </row>
    <row r="179" spans="1:8" x14ac:dyDescent="0.35">
      <c r="A179">
        <v>177</v>
      </c>
      <c r="B179">
        <v>5525</v>
      </c>
      <c r="C179">
        <v>36</v>
      </c>
      <c r="D179" t="s">
        <v>10</v>
      </c>
      <c r="E179" t="b">
        <v>0</v>
      </c>
      <c r="F179" s="1">
        <v>38059</v>
      </c>
      <c r="G179">
        <v>18</v>
      </c>
      <c r="H179">
        <v>144373</v>
      </c>
    </row>
    <row r="180" spans="1:8" x14ac:dyDescent="0.35">
      <c r="A180">
        <v>178</v>
      </c>
      <c r="B180">
        <v>9645</v>
      </c>
      <c r="C180">
        <v>52</v>
      </c>
      <c r="D180" t="s">
        <v>8</v>
      </c>
      <c r="E180" t="b">
        <v>0</v>
      </c>
      <c r="F180" s="1">
        <v>29741</v>
      </c>
      <c r="G180">
        <v>25</v>
      </c>
      <c r="H180">
        <v>209113</v>
      </c>
    </row>
    <row r="181" spans="1:8" x14ac:dyDescent="0.35">
      <c r="A181">
        <v>179</v>
      </c>
      <c r="B181">
        <v>9968</v>
      </c>
      <c r="C181">
        <v>62</v>
      </c>
      <c r="D181" t="s">
        <v>12</v>
      </c>
      <c r="E181" t="b">
        <v>1</v>
      </c>
      <c r="F181" s="1">
        <v>38380</v>
      </c>
      <c r="G181">
        <v>29</v>
      </c>
      <c r="H181">
        <v>230159</v>
      </c>
    </row>
    <row r="182" spans="1:8" x14ac:dyDescent="0.35">
      <c r="A182">
        <v>180</v>
      </c>
      <c r="B182">
        <v>3953</v>
      </c>
      <c r="C182">
        <v>62</v>
      </c>
      <c r="D182" t="s">
        <v>10</v>
      </c>
      <c r="E182" t="b">
        <v>1</v>
      </c>
      <c r="F182" s="1">
        <v>43363</v>
      </c>
      <c r="G182">
        <v>32</v>
      </c>
      <c r="H182">
        <v>242948</v>
      </c>
    </row>
    <row r="183" spans="1:8" x14ac:dyDescent="0.35">
      <c r="A183">
        <v>181</v>
      </c>
      <c r="B183">
        <v>4758</v>
      </c>
      <c r="C183">
        <v>42</v>
      </c>
      <c r="D183" t="s">
        <v>11</v>
      </c>
      <c r="E183" t="b">
        <v>0</v>
      </c>
      <c r="F183" s="1">
        <v>37458</v>
      </c>
      <c r="G183">
        <v>22</v>
      </c>
      <c r="H183">
        <v>181627</v>
      </c>
    </row>
    <row r="184" spans="1:8" x14ac:dyDescent="0.35">
      <c r="A184">
        <v>182</v>
      </c>
      <c r="B184">
        <v>7427</v>
      </c>
      <c r="C184">
        <v>48</v>
      </c>
      <c r="D184" t="s">
        <v>12</v>
      </c>
      <c r="E184" t="b">
        <v>0</v>
      </c>
      <c r="F184" s="1">
        <v>32319</v>
      </c>
      <c r="G184">
        <v>24</v>
      </c>
      <c r="H184">
        <v>185708</v>
      </c>
    </row>
    <row r="185" spans="1:8" x14ac:dyDescent="0.35">
      <c r="A185">
        <v>183</v>
      </c>
      <c r="B185">
        <v>8999</v>
      </c>
      <c r="C185">
        <v>28</v>
      </c>
      <c r="D185" t="s">
        <v>10</v>
      </c>
      <c r="E185" t="b">
        <v>1</v>
      </c>
      <c r="F185" s="1">
        <v>42684</v>
      </c>
      <c r="G185">
        <v>14</v>
      </c>
      <c r="H185">
        <v>111947</v>
      </c>
    </row>
    <row r="186" spans="1:8" x14ac:dyDescent="0.35">
      <c r="A186">
        <v>184</v>
      </c>
      <c r="B186">
        <v>7658</v>
      </c>
      <c r="C186">
        <v>53</v>
      </c>
      <c r="D186" t="s">
        <v>12</v>
      </c>
      <c r="E186" t="b">
        <v>0</v>
      </c>
      <c r="F186" s="1">
        <v>26700</v>
      </c>
      <c r="G186">
        <v>26</v>
      </c>
      <c r="H186">
        <v>201058</v>
      </c>
    </row>
    <row r="187" spans="1:8" x14ac:dyDescent="0.35">
      <c r="A187">
        <v>185</v>
      </c>
      <c r="B187">
        <v>4734</v>
      </c>
      <c r="C187">
        <v>42</v>
      </c>
      <c r="D187" t="s">
        <v>10</v>
      </c>
      <c r="E187" t="b">
        <v>1</v>
      </c>
      <c r="F187" s="1">
        <v>34316</v>
      </c>
      <c r="G187">
        <v>21</v>
      </c>
      <c r="H187">
        <v>168451</v>
      </c>
    </row>
    <row r="188" spans="1:8" x14ac:dyDescent="0.35">
      <c r="A188">
        <v>186</v>
      </c>
      <c r="B188">
        <v>7336</v>
      </c>
      <c r="C188">
        <v>22</v>
      </c>
      <c r="D188" t="s">
        <v>9</v>
      </c>
      <c r="E188" t="b">
        <v>1</v>
      </c>
      <c r="F188" s="1">
        <v>34814</v>
      </c>
      <c r="G188">
        <v>8</v>
      </c>
      <c r="H188">
        <v>57732</v>
      </c>
    </row>
    <row r="189" spans="1:8" x14ac:dyDescent="0.35">
      <c r="A189">
        <v>187</v>
      </c>
      <c r="B189">
        <v>4024</v>
      </c>
      <c r="C189">
        <v>46</v>
      </c>
      <c r="D189" t="s">
        <v>11</v>
      </c>
      <c r="E189" t="b">
        <v>1</v>
      </c>
      <c r="F189" s="1">
        <v>39169</v>
      </c>
      <c r="G189">
        <v>25</v>
      </c>
      <c r="H189">
        <v>197413</v>
      </c>
    </row>
    <row r="190" spans="1:8" x14ac:dyDescent="0.35">
      <c r="A190">
        <v>188</v>
      </c>
      <c r="B190">
        <v>7752</v>
      </c>
      <c r="C190">
        <v>30</v>
      </c>
      <c r="D190" t="s">
        <v>10</v>
      </c>
      <c r="E190" t="b">
        <v>0</v>
      </c>
      <c r="F190" s="1">
        <v>27272</v>
      </c>
      <c r="G190">
        <v>16</v>
      </c>
      <c r="H190">
        <v>121722</v>
      </c>
    </row>
    <row r="191" spans="1:8" x14ac:dyDescent="0.35">
      <c r="A191">
        <v>189</v>
      </c>
      <c r="B191">
        <v>9981</v>
      </c>
      <c r="C191">
        <v>30</v>
      </c>
      <c r="D191" t="s">
        <v>11</v>
      </c>
      <c r="E191" t="b">
        <v>1</v>
      </c>
      <c r="F191" s="1">
        <v>29733</v>
      </c>
      <c r="G191">
        <v>18</v>
      </c>
      <c r="H191">
        <v>152895</v>
      </c>
    </row>
    <row r="192" spans="1:8" x14ac:dyDescent="0.35">
      <c r="A192">
        <v>190</v>
      </c>
      <c r="B192">
        <v>2003</v>
      </c>
      <c r="C192">
        <v>30</v>
      </c>
      <c r="D192" t="s">
        <v>8</v>
      </c>
      <c r="E192" t="b">
        <v>0</v>
      </c>
      <c r="F192" s="1">
        <v>41081</v>
      </c>
      <c r="G192">
        <v>14</v>
      </c>
      <c r="H192">
        <v>117925</v>
      </c>
    </row>
    <row r="193" spans="1:8" x14ac:dyDescent="0.35">
      <c r="A193">
        <v>191</v>
      </c>
      <c r="B193">
        <v>9689</v>
      </c>
      <c r="C193">
        <v>56</v>
      </c>
      <c r="D193" t="s">
        <v>11</v>
      </c>
      <c r="E193" t="b">
        <v>1</v>
      </c>
      <c r="F193" s="1">
        <v>33726</v>
      </c>
      <c r="G193">
        <v>24</v>
      </c>
      <c r="H193">
        <v>193844</v>
      </c>
    </row>
    <row r="194" spans="1:8" x14ac:dyDescent="0.35">
      <c r="A194">
        <v>192</v>
      </c>
      <c r="B194">
        <v>2869</v>
      </c>
      <c r="C194">
        <v>30</v>
      </c>
      <c r="D194" t="s">
        <v>12</v>
      </c>
      <c r="E194" t="b">
        <v>1</v>
      </c>
      <c r="F194" s="1">
        <v>26179</v>
      </c>
      <c r="G194">
        <v>14</v>
      </c>
      <c r="H194">
        <v>121879</v>
      </c>
    </row>
    <row r="195" spans="1:8" x14ac:dyDescent="0.35">
      <c r="A195">
        <v>193</v>
      </c>
      <c r="B195">
        <v>9133</v>
      </c>
      <c r="C195">
        <v>41</v>
      </c>
      <c r="D195" t="s">
        <v>10</v>
      </c>
      <c r="E195" t="b">
        <v>1</v>
      </c>
      <c r="F195" s="1">
        <v>38606</v>
      </c>
      <c r="G195">
        <v>22</v>
      </c>
      <c r="H195">
        <v>176397</v>
      </c>
    </row>
    <row r="196" spans="1:8" x14ac:dyDescent="0.35">
      <c r="A196">
        <v>194</v>
      </c>
      <c r="B196">
        <v>5618</v>
      </c>
      <c r="C196">
        <v>58</v>
      </c>
      <c r="D196" t="s">
        <v>12</v>
      </c>
      <c r="E196" t="b">
        <v>1</v>
      </c>
      <c r="F196" s="1">
        <v>33609</v>
      </c>
      <c r="G196">
        <v>31</v>
      </c>
      <c r="H196">
        <v>250658</v>
      </c>
    </row>
    <row r="197" spans="1:8" x14ac:dyDescent="0.35">
      <c r="A197">
        <v>195</v>
      </c>
      <c r="B197">
        <v>2310</v>
      </c>
      <c r="C197">
        <v>47</v>
      </c>
      <c r="D197" t="s">
        <v>11</v>
      </c>
      <c r="E197" t="b">
        <v>0</v>
      </c>
      <c r="F197" s="1">
        <v>29923</v>
      </c>
      <c r="G197">
        <v>22</v>
      </c>
      <c r="H197">
        <v>176752</v>
      </c>
    </row>
    <row r="198" spans="1:8" x14ac:dyDescent="0.35">
      <c r="A198">
        <v>196</v>
      </c>
      <c r="B198">
        <v>9025</v>
      </c>
      <c r="C198">
        <v>32</v>
      </c>
      <c r="D198" t="s">
        <v>10</v>
      </c>
      <c r="E198" t="b">
        <v>1</v>
      </c>
      <c r="F198" s="1">
        <v>41421</v>
      </c>
      <c r="G198">
        <v>15</v>
      </c>
      <c r="H198">
        <v>123319</v>
      </c>
    </row>
    <row r="199" spans="1:8" x14ac:dyDescent="0.35">
      <c r="A199">
        <v>197</v>
      </c>
      <c r="B199">
        <v>2227</v>
      </c>
      <c r="C199">
        <v>60</v>
      </c>
      <c r="D199" t="s">
        <v>10</v>
      </c>
      <c r="E199" t="b">
        <v>1</v>
      </c>
      <c r="F199" s="1">
        <v>44677</v>
      </c>
      <c r="G199">
        <v>32</v>
      </c>
      <c r="H199">
        <v>258573</v>
      </c>
    </row>
    <row r="200" spans="1:8" x14ac:dyDescent="0.35">
      <c r="A200">
        <v>198</v>
      </c>
      <c r="B200">
        <v>2996</v>
      </c>
      <c r="C200">
        <v>42</v>
      </c>
      <c r="D200" t="s">
        <v>8</v>
      </c>
      <c r="E200" t="b">
        <v>0</v>
      </c>
      <c r="F200" s="1">
        <v>29638</v>
      </c>
      <c r="G200">
        <v>19</v>
      </c>
      <c r="H200">
        <v>150946</v>
      </c>
    </row>
    <row r="201" spans="1:8" x14ac:dyDescent="0.35">
      <c r="A201">
        <v>199</v>
      </c>
      <c r="B201">
        <v>3003</v>
      </c>
      <c r="C201">
        <v>25</v>
      </c>
      <c r="D201" t="s">
        <v>11</v>
      </c>
      <c r="E201" t="b">
        <v>1</v>
      </c>
      <c r="F201" s="1">
        <v>45197</v>
      </c>
      <c r="G201">
        <v>14</v>
      </c>
      <c r="H201">
        <v>114361</v>
      </c>
    </row>
    <row r="202" spans="1:8" x14ac:dyDescent="0.35">
      <c r="A202">
        <v>200</v>
      </c>
      <c r="B202">
        <v>7608</v>
      </c>
      <c r="C202">
        <v>63</v>
      </c>
      <c r="D202" t="s">
        <v>12</v>
      </c>
      <c r="E202" t="b">
        <v>1</v>
      </c>
      <c r="F202" s="1">
        <v>32861</v>
      </c>
      <c r="G202">
        <v>32</v>
      </c>
      <c r="H202">
        <v>257944</v>
      </c>
    </row>
    <row r="203" spans="1:8" x14ac:dyDescent="0.35">
      <c r="A203">
        <v>201</v>
      </c>
      <c r="B203">
        <v>1121</v>
      </c>
      <c r="C203">
        <v>22</v>
      </c>
      <c r="D203" t="s">
        <v>12</v>
      </c>
      <c r="E203" t="b">
        <v>0</v>
      </c>
      <c r="F203" s="1">
        <v>30530</v>
      </c>
      <c r="G203">
        <v>12</v>
      </c>
      <c r="H203">
        <v>91127</v>
      </c>
    </row>
    <row r="204" spans="1:8" x14ac:dyDescent="0.35">
      <c r="A204">
        <v>202</v>
      </c>
      <c r="B204">
        <v>1838</v>
      </c>
      <c r="C204">
        <v>64</v>
      </c>
      <c r="D204" t="s">
        <v>11</v>
      </c>
      <c r="E204" t="b">
        <v>1</v>
      </c>
      <c r="F204" s="1">
        <v>41632</v>
      </c>
      <c r="G204">
        <v>34</v>
      </c>
      <c r="H204">
        <v>273400</v>
      </c>
    </row>
    <row r="205" spans="1:8" x14ac:dyDescent="0.35">
      <c r="A205">
        <v>203</v>
      </c>
      <c r="B205">
        <v>6586</v>
      </c>
      <c r="C205">
        <v>46</v>
      </c>
      <c r="D205" t="s">
        <v>11</v>
      </c>
      <c r="E205" t="b">
        <v>1</v>
      </c>
      <c r="F205" s="1">
        <v>26853</v>
      </c>
      <c r="G205">
        <v>25</v>
      </c>
      <c r="H205">
        <v>196459</v>
      </c>
    </row>
    <row r="206" spans="1:8" x14ac:dyDescent="0.35">
      <c r="A206">
        <v>204</v>
      </c>
      <c r="B206">
        <v>4148</v>
      </c>
      <c r="C206">
        <v>34</v>
      </c>
      <c r="D206" t="s">
        <v>10</v>
      </c>
      <c r="E206" t="b">
        <v>0</v>
      </c>
      <c r="F206" s="1">
        <v>41953</v>
      </c>
      <c r="G206">
        <v>18</v>
      </c>
      <c r="H206">
        <v>132705</v>
      </c>
    </row>
    <row r="207" spans="1:8" x14ac:dyDescent="0.35">
      <c r="A207">
        <v>205</v>
      </c>
      <c r="B207">
        <v>6227</v>
      </c>
      <c r="C207">
        <v>61</v>
      </c>
      <c r="D207" t="s">
        <v>9</v>
      </c>
      <c r="E207" t="b">
        <v>1</v>
      </c>
      <c r="F207" s="1">
        <v>38513</v>
      </c>
      <c r="G207">
        <v>24</v>
      </c>
      <c r="H207">
        <v>192494</v>
      </c>
    </row>
    <row r="208" spans="1:8" x14ac:dyDescent="0.35">
      <c r="A208">
        <v>206</v>
      </c>
      <c r="B208">
        <v>6663</v>
      </c>
      <c r="C208">
        <v>38</v>
      </c>
      <c r="D208" t="s">
        <v>10</v>
      </c>
      <c r="E208" t="b">
        <v>1</v>
      </c>
      <c r="F208" s="1">
        <v>33525</v>
      </c>
      <c r="G208">
        <v>21</v>
      </c>
      <c r="H208">
        <v>164835</v>
      </c>
    </row>
    <row r="209" spans="1:8" x14ac:dyDescent="0.35">
      <c r="A209">
        <v>207</v>
      </c>
      <c r="B209">
        <v>9650</v>
      </c>
      <c r="C209">
        <v>33</v>
      </c>
      <c r="D209" t="s">
        <v>8</v>
      </c>
      <c r="E209" t="b">
        <v>0</v>
      </c>
      <c r="F209" s="1">
        <v>28085</v>
      </c>
      <c r="G209">
        <v>15</v>
      </c>
      <c r="H209">
        <v>126137</v>
      </c>
    </row>
    <row r="210" spans="1:8" x14ac:dyDescent="0.35">
      <c r="A210">
        <v>208</v>
      </c>
      <c r="B210">
        <v>6929</v>
      </c>
      <c r="C210">
        <v>51</v>
      </c>
      <c r="D210" t="s">
        <v>11</v>
      </c>
      <c r="E210" t="b">
        <v>1</v>
      </c>
      <c r="F210" s="1">
        <v>28165</v>
      </c>
      <c r="G210">
        <v>25</v>
      </c>
      <c r="H210">
        <v>200225</v>
      </c>
    </row>
    <row r="211" spans="1:8" x14ac:dyDescent="0.35">
      <c r="A211">
        <v>209</v>
      </c>
      <c r="B211">
        <v>2863</v>
      </c>
      <c r="C211">
        <v>46</v>
      </c>
      <c r="D211" t="s">
        <v>8</v>
      </c>
      <c r="E211" t="b">
        <v>0</v>
      </c>
      <c r="F211" s="1">
        <v>39857</v>
      </c>
      <c r="G211">
        <v>25</v>
      </c>
      <c r="H211">
        <v>195891</v>
      </c>
    </row>
    <row r="212" spans="1:8" x14ac:dyDescent="0.35">
      <c r="A212">
        <v>210</v>
      </c>
      <c r="B212">
        <v>8673</v>
      </c>
      <c r="C212">
        <v>44</v>
      </c>
      <c r="D212" t="s">
        <v>10</v>
      </c>
      <c r="E212" t="b">
        <v>1</v>
      </c>
      <c r="F212" s="1">
        <v>45093</v>
      </c>
      <c r="G212">
        <v>20</v>
      </c>
      <c r="H212">
        <v>156207</v>
      </c>
    </row>
    <row r="213" spans="1:8" x14ac:dyDescent="0.35">
      <c r="A213">
        <v>211</v>
      </c>
      <c r="B213">
        <v>2820</v>
      </c>
      <c r="C213">
        <v>28</v>
      </c>
      <c r="D213" t="s">
        <v>8</v>
      </c>
      <c r="E213" t="b">
        <v>1</v>
      </c>
      <c r="F213" s="1">
        <v>43218</v>
      </c>
      <c r="G213">
        <v>18</v>
      </c>
      <c r="H213">
        <v>135734</v>
      </c>
    </row>
    <row r="214" spans="1:8" x14ac:dyDescent="0.35">
      <c r="A214">
        <v>212</v>
      </c>
      <c r="B214">
        <v>6260</v>
      </c>
      <c r="C214">
        <v>23</v>
      </c>
      <c r="D214" t="s">
        <v>9</v>
      </c>
      <c r="E214" t="b">
        <v>0</v>
      </c>
      <c r="F214" s="1">
        <v>45367</v>
      </c>
      <c r="G214">
        <v>14</v>
      </c>
      <c r="H214">
        <v>109179</v>
      </c>
    </row>
    <row r="215" spans="1:8" x14ac:dyDescent="0.35">
      <c r="A215">
        <v>213</v>
      </c>
      <c r="B215">
        <v>5238</v>
      </c>
      <c r="C215">
        <v>48</v>
      </c>
      <c r="D215" t="s">
        <v>9</v>
      </c>
      <c r="E215" t="b">
        <v>0</v>
      </c>
      <c r="F215" s="1">
        <v>36243</v>
      </c>
      <c r="G215">
        <v>25</v>
      </c>
      <c r="H215">
        <v>197005</v>
      </c>
    </row>
    <row r="216" spans="1:8" x14ac:dyDescent="0.35">
      <c r="A216">
        <v>214</v>
      </c>
      <c r="B216">
        <v>1284</v>
      </c>
      <c r="C216">
        <v>28</v>
      </c>
      <c r="D216" t="s">
        <v>9</v>
      </c>
      <c r="E216" t="b">
        <v>0</v>
      </c>
      <c r="F216" s="1">
        <v>45069</v>
      </c>
      <c r="G216">
        <v>13</v>
      </c>
      <c r="H216">
        <v>89207</v>
      </c>
    </row>
    <row r="217" spans="1:8" x14ac:dyDescent="0.35">
      <c r="A217">
        <v>215</v>
      </c>
      <c r="B217">
        <v>3247</v>
      </c>
      <c r="C217">
        <v>34</v>
      </c>
      <c r="D217" t="s">
        <v>8</v>
      </c>
      <c r="E217" t="b">
        <v>1</v>
      </c>
      <c r="F217" s="1">
        <v>29549</v>
      </c>
      <c r="G217">
        <v>16</v>
      </c>
      <c r="H217">
        <v>138009</v>
      </c>
    </row>
    <row r="218" spans="1:8" x14ac:dyDescent="0.35">
      <c r="A218">
        <v>216</v>
      </c>
      <c r="B218">
        <v>1541</v>
      </c>
      <c r="C218">
        <v>62</v>
      </c>
      <c r="D218" t="s">
        <v>12</v>
      </c>
      <c r="E218" t="b">
        <v>1</v>
      </c>
      <c r="F218" s="1">
        <v>38322</v>
      </c>
      <c r="G218">
        <v>28</v>
      </c>
      <c r="H218">
        <v>233480</v>
      </c>
    </row>
    <row r="219" spans="1:8" x14ac:dyDescent="0.35">
      <c r="A219">
        <v>217</v>
      </c>
      <c r="B219">
        <v>5004</v>
      </c>
      <c r="C219">
        <v>57</v>
      </c>
      <c r="D219" t="s">
        <v>8</v>
      </c>
      <c r="E219" t="b">
        <v>1</v>
      </c>
      <c r="F219" s="1">
        <v>41768</v>
      </c>
      <c r="G219">
        <v>26</v>
      </c>
      <c r="H219">
        <v>206244</v>
      </c>
    </row>
    <row r="220" spans="1:8" x14ac:dyDescent="0.35">
      <c r="A220">
        <v>218</v>
      </c>
      <c r="B220">
        <v>2696</v>
      </c>
      <c r="C220">
        <v>56</v>
      </c>
      <c r="D220" t="s">
        <v>8</v>
      </c>
      <c r="E220" t="b">
        <v>1</v>
      </c>
      <c r="F220" s="1">
        <v>36177</v>
      </c>
      <c r="G220">
        <v>26</v>
      </c>
      <c r="H220">
        <v>207865</v>
      </c>
    </row>
    <row r="221" spans="1:8" x14ac:dyDescent="0.35">
      <c r="A221">
        <v>219</v>
      </c>
      <c r="B221">
        <v>6407</v>
      </c>
      <c r="C221">
        <v>43</v>
      </c>
      <c r="D221" t="s">
        <v>12</v>
      </c>
      <c r="E221" t="b">
        <v>1</v>
      </c>
      <c r="F221" s="1">
        <v>28689</v>
      </c>
      <c r="G221">
        <v>21</v>
      </c>
      <c r="H221">
        <v>160057</v>
      </c>
    </row>
    <row r="222" spans="1:8" x14ac:dyDescent="0.35">
      <c r="A222">
        <v>220</v>
      </c>
      <c r="B222">
        <v>2699</v>
      </c>
      <c r="C222">
        <v>40</v>
      </c>
      <c r="D222" t="s">
        <v>8</v>
      </c>
      <c r="E222" t="b">
        <v>1</v>
      </c>
      <c r="F222" s="1">
        <v>44609</v>
      </c>
      <c r="G222">
        <v>16</v>
      </c>
      <c r="H222">
        <v>135082</v>
      </c>
    </row>
    <row r="223" spans="1:8" x14ac:dyDescent="0.35">
      <c r="A223">
        <v>221</v>
      </c>
      <c r="B223">
        <v>9383</v>
      </c>
      <c r="C223">
        <v>57</v>
      </c>
      <c r="D223" t="s">
        <v>8</v>
      </c>
      <c r="E223" t="b">
        <v>0</v>
      </c>
      <c r="F223" s="1">
        <v>37727</v>
      </c>
      <c r="G223">
        <v>25</v>
      </c>
      <c r="H223">
        <v>207482</v>
      </c>
    </row>
    <row r="224" spans="1:8" x14ac:dyDescent="0.35">
      <c r="A224">
        <v>222</v>
      </c>
      <c r="B224">
        <v>2577</v>
      </c>
      <c r="C224">
        <v>39</v>
      </c>
      <c r="D224" t="s">
        <v>11</v>
      </c>
      <c r="E224" t="b">
        <v>0</v>
      </c>
      <c r="F224" s="1">
        <v>44475</v>
      </c>
      <c r="G224">
        <v>19</v>
      </c>
      <c r="H224">
        <v>144587</v>
      </c>
    </row>
    <row r="225" spans="1:8" x14ac:dyDescent="0.35">
      <c r="A225">
        <v>223</v>
      </c>
      <c r="B225">
        <v>7746</v>
      </c>
      <c r="C225">
        <v>41</v>
      </c>
      <c r="D225" t="s">
        <v>9</v>
      </c>
      <c r="E225" t="b">
        <v>1</v>
      </c>
      <c r="F225" s="1">
        <v>27970</v>
      </c>
      <c r="G225">
        <v>22</v>
      </c>
      <c r="H225">
        <v>179459</v>
      </c>
    </row>
    <row r="226" spans="1:8" x14ac:dyDescent="0.35">
      <c r="A226">
        <v>224</v>
      </c>
      <c r="B226">
        <v>5622</v>
      </c>
      <c r="C226">
        <v>59</v>
      </c>
      <c r="D226" t="s">
        <v>12</v>
      </c>
      <c r="E226" t="b">
        <v>0</v>
      </c>
      <c r="F226" s="1">
        <v>29196</v>
      </c>
      <c r="G226">
        <v>30</v>
      </c>
      <c r="H226">
        <v>235895</v>
      </c>
    </row>
    <row r="227" spans="1:8" x14ac:dyDescent="0.35">
      <c r="A227">
        <v>225</v>
      </c>
      <c r="B227">
        <v>4002</v>
      </c>
      <c r="C227">
        <v>26</v>
      </c>
      <c r="D227" t="s">
        <v>11</v>
      </c>
      <c r="E227" t="b">
        <v>0</v>
      </c>
      <c r="F227" s="1">
        <v>38900</v>
      </c>
      <c r="G227">
        <v>17</v>
      </c>
      <c r="H227">
        <v>134299</v>
      </c>
    </row>
    <row r="228" spans="1:8" x14ac:dyDescent="0.35">
      <c r="A228">
        <v>226</v>
      </c>
      <c r="B228">
        <v>1643</v>
      </c>
      <c r="C228">
        <v>34</v>
      </c>
      <c r="D228" t="s">
        <v>9</v>
      </c>
      <c r="E228" t="b">
        <v>1</v>
      </c>
      <c r="F228" s="1">
        <v>28584</v>
      </c>
      <c r="G228">
        <v>17</v>
      </c>
      <c r="H228">
        <v>134991</v>
      </c>
    </row>
    <row r="229" spans="1:8" x14ac:dyDescent="0.35">
      <c r="A229">
        <v>227</v>
      </c>
      <c r="B229">
        <v>1459</v>
      </c>
      <c r="C229">
        <v>26</v>
      </c>
      <c r="D229" t="s">
        <v>9</v>
      </c>
      <c r="E229" t="b">
        <v>0</v>
      </c>
      <c r="F229" s="1">
        <v>44029</v>
      </c>
      <c r="G229">
        <v>11</v>
      </c>
      <c r="H229">
        <v>88841</v>
      </c>
    </row>
    <row r="230" spans="1:8" x14ac:dyDescent="0.35">
      <c r="A230">
        <v>228</v>
      </c>
      <c r="B230">
        <v>3972</v>
      </c>
      <c r="C230">
        <v>44</v>
      </c>
      <c r="D230" t="s">
        <v>10</v>
      </c>
      <c r="E230" t="b">
        <v>0</v>
      </c>
      <c r="F230" s="1">
        <v>45452</v>
      </c>
      <c r="G230">
        <v>23</v>
      </c>
      <c r="H230">
        <v>184491</v>
      </c>
    </row>
    <row r="231" spans="1:8" x14ac:dyDescent="0.35">
      <c r="A231">
        <v>229</v>
      </c>
      <c r="B231">
        <v>2714</v>
      </c>
      <c r="C231">
        <v>43</v>
      </c>
      <c r="D231" t="s">
        <v>9</v>
      </c>
      <c r="E231" t="b">
        <v>1</v>
      </c>
      <c r="F231" s="1">
        <v>35278</v>
      </c>
      <c r="G231">
        <v>20</v>
      </c>
      <c r="H231">
        <v>154542</v>
      </c>
    </row>
    <row r="232" spans="1:8" x14ac:dyDescent="0.35">
      <c r="A232">
        <v>230</v>
      </c>
      <c r="B232">
        <v>5785</v>
      </c>
      <c r="C232">
        <v>42</v>
      </c>
      <c r="D232" t="s">
        <v>10</v>
      </c>
      <c r="E232" t="b">
        <v>0</v>
      </c>
      <c r="F232" s="1">
        <v>39347</v>
      </c>
      <c r="G232">
        <v>20</v>
      </c>
      <c r="H232">
        <v>158115</v>
      </c>
    </row>
    <row r="233" spans="1:8" x14ac:dyDescent="0.35">
      <c r="A233">
        <v>231</v>
      </c>
      <c r="B233">
        <v>5746</v>
      </c>
      <c r="C233">
        <v>36</v>
      </c>
      <c r="D233" t="s">
        <v>10</v>
      </c>
      <c r="E233" t="b">
        <v>0</v>
      </c>
      <c r="F233" s="1">
        <v>32197</v>
      </c>
      <c r="G233">
        <v>14</v>
      </c>
      <c r="H233">
        <v>113899</v>
      </c>
    </row>
    <row r="234" spans="1:8" x14ac:dyDescent="0.35">
      <c r="A234">
        <v>232</v>
      </c>
      <c r="B234">
        <v>9400</v>
      </c>
      <c r="C234">
        <v>25</v>
      </c>
      <c r="D234" t="s">
        <v>9</v>
      </c>
      <c r="E234" t="b">
        <v>0</v>
      </c>
      <c r="F234" s="1">
        <v>35473</v>
      </c>
      <c r="G234">
        <v>10</v>
      </c>
      <c r="H234">
        <v>85343</v>
      </c>
    </row>
    <row r="235" spans="1:8" x14ac:dyDescent="0.35">
      <c r="A235">
        <v>233</v>
      </c>
      <c r="B235">
        <v>4676</v>
      </c>
      <c r="C235">
        <v>36</v>
      </c>
      <c r="D235" t="s">
        <v>9</v>
      </c>
      <c r="E235" t="b">
        <v>1</v>
      </c>
      <c r="F235" s="1">
        <v>26451</v>
      </c>
      <c r="G235">
        <v>18</v>
      </c>
      <c r="H235">
        <v>139873</v>
      </c>
    </row>
    <row r="236" spans="1:8" x14ac:dyDescent="0.35">
      <c r="A236">
        <v>234</v>
      </c>
      <c r="B236">
        <v>9846</v>
      </c>
      <c r="C236">
        <v>61</v>
      </c>
      <c r="D236" t="s">
        <v>9</v>
      </c>
      <c r="E236" t="b">
        <v>0</v>
      </c>
      <c r="F236" s="1">
        <v>29533</v>
      </c>
      <c r="G236">
        <v>30</v>
      </c>
      <c r="H236">
        <v>246725</v>
      </c>
    </row>
    <row r="237" spans="1:8" x14ac:dyDescent="0.35">
      <c r="A237">
        <v>235</v>
      </c>
      <c r="B237">
        <v>9108</v>
      </c>
      <c r="C237">
        <v>57</v>
      </c>
      <c r="D237" t="s">
        <v>9</v>
      </c>
      <c r="E237" t="b">
        <v>0</v>
      </c>
      <c r="F237" s="1">
        <v>41034</v>
      </c>
      <c r="G237">
        <v>27</v>
      </c>
      <c r="H237">
        <v>226201</v>
      </c>
    </row>
    <row r="238" spans="1:8" x14ac:dyDescent="0.35">
      <c r="A238">
        <v>236</v>
      </c>
      <c r="B238">
        <v>3158</v>
      </c>
      <c r="C238">
        <v>51</v>
      </c>
      <c r="D238" t="s">
        <v>8</v>
      </c>
      <c r="E238" t="b">
        <v>1</v>
      </c>
      <c r="F238" s="1">
        <v>40347</v>
      </c>
      <c r="G238">
        <v>27</v>
      </c>
      <c r="H238">
        <v>212105</v>
      </c>
    </row>
    <row r="239" spans="1:8" x14ac:dyDescent="0.35">
      <c r="A239">
        <v>237</v>
      </c>
      <c r="B239">
        <v>7361</v>
      </c>
      <c r="C239">
        <v>35</v>
      </c>
      <c r="D239" t="s">
        <v>10</v>
      </c>
      <c r="E239" t="b">
        <v>0</v>
      </c>
      <c r="F239" s="1">
        <v>26495</v>
      </c>
      <c r="G239">
        <v>18</v>
      </c>
      <c r="H239">
        <v>149179</v>
      </c>
    </row>
    <row r="240" spans="1:8" x14ac:dyDescent="0.35">
      <c r="A240">
        <v>238</v>
      </c>
      <c r="B240">
        <v>1959</v>
      </c>
      <c r="C240">
        <v>36</v>
      </c>
      <c r="D240" t="s">
        <v>9</v>
      </c>
      <c r="E240" t="b">
        <v>0</v>
      </c>
      <c r="F240" s="1">
        <v>25606</v>
      </c>
      <c r="G240">
        <v>15</v>
      </c>
      <c r="H240">
        <v>115898</v>
      </c>
    </row>
    <row r="241" spans="1:8" x14ac:dyDescent="0.35">
      <c r="A241">
        <v>239</v>
      </c>
      <c r="B241">
        <v>9340</v>
      </c>
      <c r="C241">
        <v>64</v>
      </c>
      <c r="D241" t="s">
        <v>9</v>
      </c>
      <c r="E241" t="b">
        <v>1</v>
      </c>
      <c r="F241" s="1">
        <v>29698</v>
      </c>
      <c r="G241">
        <v>30</v>
      </c>
      <c r="H241">
        <v>245207</v>
      </c>
    </row>
    <row r="242" spans="1:8" x14ac:dyDescent="0.35">
      <c r="A242">
        <v>240</v>
      </c>
      <c r="B242">
        <v>9605</v>
      </c>
      <c r="C242">
        <v>48</v>
      </c>
      <c r="D242" t="s">
        <v>9</v>
      </c>
      <c r="E242" t="b">
        <v>0</v>
      </c>
      <c r="F242" s="1">
        <v>27390</v>
      </c>
      <c r="G242">
        <v>21</v>
      </c>
      <c r="H242">
        <v>163924</v>
      </c>
    </row>
    <row r="243" spans="1:8" x14ac:dyDescent="0.35">
      <c r="A243">
        <v>241</v>
      </c>
      <c r="B243">
        <v>3361</v>
      </c>
      <c r="C243">
        <v>46</v>
      </c>
      <c r="D243" t="s">
        <v>10</v>
      </c>
      <c r="E243" t="b">
        <v>0</v>
      </c>
      <c r="F243" s="1">
        <v>28903</v>
      </c>
      <c r="G243">
        <v>22</v>
      </c>
      <c r="H243">
        <v>172224</v>
      </c>
    </row>
    <row r="244" spans="1:8" x14ac:dyDescent="0.35">
      <c r="A244">
        <v>242</v>
      </c>
      <c r="B244">
        <v>4662</v>
      </c>
      <c r="C244">
        <v>38</v>
      </c>
      <c r="D244" t="s">
        <v>11</v>
      </c>
      <c r="E244" t="b">
        <v>1</v>
      </c>
      <c r="F244" s="1">
        <v>38894</v>
      </c>
      <c r="G244">
        <v>19</v>
      </c>
      <c r="H244">
        <v>144990</v>
      </c>
    </row>
    <row r="245" spans="1:8" x14ac:dyDescent="0.35">
      <c r="A245">
        <v>243</v>
      </c>
      <c r="B245">
        <v>4844</v>
      </c>
      <c r="C245">
        <v>47</v>
      </c>
      <c r="D245" t="s">
        <v>9</v>
      </c>
      <c r="E245" t="b">
        <v>1</v>
      </c>
      <c r="F245" s="1">
        <v>37052</v>
      </c>
      <c r="G245">
        <v>22</v>
      </c>
      <c r="H245">
        <v>170676</v>
      </c>
    </row>
    <row r="246" spans="1:8" x14ac:dyDescent="0.35">
      <c r="A246">
        <v>244</v>
      </c>
      <c r="B246">
        <v>6788</v>
      </c>
      <c r="C246">
        <v>39</v>
      </c>
      <c r="D246" t="s">
        <v>10</v>
      </c>
      <c r="E246" t="b">
        <v>1</v>
      </c>
      <c r="F246" s="1">
        <v>45929</v>
      </c>
      <c r="G246">
        <v>22</v>
      </c>
      <c r="H246">
        <v>181837</v>
      </c>
    </row>
    <row r="247" spans="1:8" x14ac:dyDescent="0.35">
      <c r="A247">
        <v>245</v>
      </c>
      <c r="B247">
        <v>4450</v>
      </c>
      <c r="C247">
        <v>42</v>
      </c>
      <c r="D247" t="s">
        <v>12</v>
      </c>
      <c r="E247" t="b">
        <v>0</v>
      </c>
      <c r="F247" s="1">
        <v>33415</v>
      </c>
      <c r="G247">
        <v>18</v>
      </c>
      <c r="H247">
        <v>133509</v>
      </c>
    </row>
    <row r="248" spans="1:8" x14ac:dyDescent="0.35">
      <c r="A248">
        <v>246</v>
      </c>
      <c r="B248">
        <v>9076</v>
      </c>
      <c r="C248">
        <v>58</v>
      </c>
      <c r="D248" t="s">
        <v>11</v>
      </c>
      <c r="E248" t="b">
        <v>0</v>
      </c>
      <c r="F248" s="1">
        <v>31168</v>
      </c>
      <c r="G248">
        <v>29</v>
      </c>
      <c r="H248">
        <v>234402</v>
      </c>
    </row>
    <row r="249" spans="1:8" x14ac:dyDescent="0.35">
      <c r="A249">
        <v>247</v>
      </c>
      <c r="B249">
        <v>8936</v>
      </c>
      <c r="C249">
        <v>46</v>
      </c>
      <c r="D249" t="s">
        <v>10</v>
      </c>
      <c r="E249" t="b">
        <v>0</v>
      </c>
      <c r="F249" s="1">
        <v>38360</v>
      </c>
      <c r="G249">
        <v>20</v>
      </c>
      <c r="H249">
        <v>165971</v>
      </c>
    </row>
    <row r="250" spans="1:8" x14ac:dyDescent="0.35">
      <c r="A250">
        <v>248</v>
      </c>
      <c r="B250">
        <v>3578</v>
      </c>
      <c r="C250">
        <v>31</v>
      </c>
      <c r="D250" t="s">
        <v>12</v>
      </c>
      <c r="E250" t="b">
        <v>0</v>
      </c>
      <c r="F250" s="1">
        <v>34361</v>
      </c>
      <c r="G250">
        <v>13</v>
      </c>
      <c r="H250">
        <v>105359</v>
      </c>
    </row>
    <row r="251" spans="1:8" x14ac:dyDescent="0.35">
      <c r="A251">
        <v>249</v>
      </c>
      <c r="B251">
        <v>5624</v>
      </c>
      <c r="C251">
        <v>22</v>
      </c>
      <c r="D251" t="s">
        <v>12</v>
      </c>
      <c r="E251" t="b">
        <v>1</v>
      </c>
      <c r="F251" s="1">
        <v>30364</v>
      </c>
      <c r="G251">
        <v>13</v>
      </c>
      <c r="H251">
        <v>94383</v>
      </c>
    </row>
    <row r="252" spans="1:8" x14ac:dyDescent="0.35">
      <c r="A252">
        <v>250</v>
      </c>
      <c r="B252">
        <v>3793</v>
      </c>
      <c r="C252">
        <v>51</v>
      </c>
      <c r="D252" t="s">
        <v>12</v>
      </c>
      <c r="E252" t="b">
        <v>0</v>
      </c>
      <c r="F252" s="1">
        <v>44986</v>
      </c>
      <c r="G252">
        <v>24</v>
      </c>
      <c r="H252">
        <v>198528</v>
      </c>
    </row>
    <row r="253" spans="1:8" x14ac:dyDescent="0.35">
      <c r="A253">
        <v>251</v>
      </c>
      <c r="B253">
        <v>1804</v>
      </c>
      <c r="C253">
        <v>62</v>
      </c>
      <c r="D253" t="s">
        <v>12</v>
      </c>
      <c r="E253" t="b">
        <v>1</v>
      </c>
      <c r="F253" s="1">
        <v>38657</v>
      </c>
      <c r="G253">
        <v>31</v>
      </c>
      <c r="H253">
        <v>242369</v>
      </c>
    </row>
    <row r="254" spans="1:8" x14ac:dyDescent="0.35">
      <c r="A254">
        <v>252</v>
      </c>
      <c r="B254">
        <v>5169</v>
      </c>
      <c r="C254">
        <v>52</v>
      </c>
      <c r="D254" t="s">
        <v>12</v>
      </c>
      <c r="E254" t="b">
        <v>1</v>
      </c>
      <c r="F254" s="1">
        <v>39705</v>
      </c>
      <c r="G254">
        <v>23</v>
      </c>
      <c r="H254">
        <v>182226</v>
      </c>
    </row>
    <row r="255" spans="1:8" x14ac:dyDescent="0.35">
      <c r="A255">
        <v>253</v>
      </c>
      <c r="B255">
        <v>7658</v>
      </c>
      <c r="C255">
        <v>27</v>
      </c>
      <c r="D255" t="s">
        <v>11</v>
      </c>
      <c r="E255" t="b">
        <v>0</v>
      </c>
      <c r="F255" s="1">
        <v>35265</v>
      </c>
      <c r="G255">
        <v>11</v>
      </c>
      <c r="H255">
        <v>88117</v>
      </c>
    </row>
    <row r="256" spans="1:8" x14ac:dyDescent="0.35">
      <c r="A256">
        <v>254</v>
      </c>
      <c r="B256">
        <v>3417</v>
      </c>
      <c r="C256">
        <v>54</v>
      </c>
      <c r="D256" t="s">
        <v>10</v>
      </c>
      <c r="E256" t="b">
        <v>1</v>
      </c>
      <c r="F256" s="1">
        <v>37514</v>
      </c>
      <c r="G256">
        <v>30</v>
      </c>
      <c r="H256">
        <v>242515</v>
      </c>
    </row>
    <row r="257" spans="1:8" x14ac:dyDescent="0.35">
      <c r="A257">
        <v>255</v>
      </c>
      <c r="B257">
        <v>4801</v>
      </c>
      <c r="C257">
        <v>62</v>
      </c>
      <c r="D257" t="s">
        <v>8</v>
      </c>
      <c r="E257" t="b">
        <v>0</v>
      </c>
      <c r="F257" s="1">
        <v>40130</v>
      </c>
      <c r="G257">
        <v>35</v>
      </c>
      <c r="H257">
        <v>281861</v>
      </c>
    </row>
    <row r="258" spans="1:8" x14ac:dyDescent="0.35">
      <c r="A258">
        <v>256</v>
      </c>
      <c r="B258">
        <v>2427</v>
      </c>
      <c r="C258">
        <v>61</v>
      </c>
      <c r="D258" t="s">
        <v>12</v>
      </c>
      <c r="E258" t="b">
        <v>0</v>
      </c>
      <c r="F258" s="1">
        <v>27643</v>
      </c>
      <c r="G258">
        <v>31</v>
      </c>
      <c r="H258">
        <v>242118</v>
      </c>
    </row>
    <row r="259" spans="1:8" x14ac:dyDescent="0.35">
      <c r="A259">
        <v>257</v>
      </c>
      <c r="B259">
        <v>4976</v>
      </c>
      <c r="C259">
        <v>48</v>
      </c>
      <c r="D259" t="s">
        <v>9</v>
      </c>
      <c r="E259" t="b">
        <v>1</v>
      </c>
      <c r="F259" s="1">
        <v>39883</v>
      </c>
      <c r="G259">
        <v>26</v>
      </c>
      <c r="H259">
        <v>209490</v>
      </c>
    </row>
    <row r="260" spans="1:8" x14ac:dyDescent="0.35">
      <c r="A260">
        <v>258</v>
      </c>
      <c r="B260">
        <v>2090</v>
      </c>
      <c r="C260">
        <v>26</v>
      </c>
      <c r="D260" t="s">
        <v>12</v>
      </c>
      <c r="E260" t="b">
        <v>0</v>
      </c>
      <c r="F260" s="1">
        <v>40438</v>
      </c>
      <c r="G260">
        <v>11</v>
      </c>
      <c r="H260">
        <v>89796</v>
      </c>
    </row>
    <row r="261" spans="1:8" x14ac:dyDescent="0.35">
      <c r="A261">
        <v>259</v>
      </c>
      <c r="B261">
        <v>8575</v>
      </c>
      <c r="C261">
        <v>41</v>
      </c>
      <c r="D261" t="s">
        <v>8</v>
      </c>
      <c r="E261" t="b">
        <v>0</v>
      </c>
      <c r="F261" s="1">
        <v>33323</v>
      </c>
      <c r="G261">
        <v>17</v>
      </c>
      <c r="H261">
        <v>133309</v>
      </c>
    </row>
    <row r="262" spans="1:8" x14ac:dyDescent="0.35">
      <c r="A262">
        <v>260</v>
      </c>
      <c r="B262">
        <v>6820</v>
      </c>
      <c r="C262">
        <v>61</v>
      </c>
      <c r="D262" t="s">
        <v>12</v>
      </c>
      <c r="E262" t="b">
        <v>0</v>
      </c>
      <c r="F262" s="1">
        <v>32566</v>
      </c>
      <c r="G262">
        <v>30</v>
      </c>
      <c r="H262">
        <v>242055</v>
      </c>
    </row>
    <row r="263" spans="1:8" x14ac:dyDescent="0.35">
      <c r="A263">
        <v>261</v>
      </c>
      <c r="B263">
        <v>4433</v>
      </c>
      <c r="C263">
        <v>59</v>
      </c>
      <c r="D263" t="s">
        <v>10</v>
      </c>
      <c r="E263" t="b">
        <v>0</v>
      </c>
      <c r="F263" s="1">
        <v>28869</v>
      </c>
      <c r="G263">
        <v>27</v>
      </c>
      <c r="H263">
        <v>216452</v>
      </c>
    </row>
    <row r="264" spans="1:8" x14ac:dyDescent="0.35">
      <c r="A264">
        <v>262</v>
      </c>
      <c r="B264">
        <v>2245</v>
      </c>
      <c r="C264">
        <v>49</v>
      </c>
      <c r="D264" t="s">
        <v>9</v>
      </c>
      <c r="E264" t="b">
        <v>0</v>
      </c>
      <c r="F264" s="1">
        <v>33306</v>
      </c>
      <c r="G264">
        <v>23</v>
      </c>
      <c r="H264">
        <v>175322</v>
      </c>
    </row>
    <row r="265" spans="1:8" x14ac:dyDescent="0.35">
      <c r="A265">
        <v>263</v>
      </c>
      <c r="B265">
        <v>9271</v>
      </c>
      <c r="C265">
        <v>41</v>
      </c>
      <c r="D265" t="s">
        <v>10</v>
      </c>
      <c r="E265" t="b">
        <v>1</v>
      </c>
      <c r="F265" s="1">
        <v>25776</v>
      </c>
      <c r="G265">
        <v>18</v>
      </c>
      <c r="H265">
        <v>143008</v>
      </c>
    </row>
    <row r="266" spans="1:8" x14ac:dyDescent="0.35">
      <c r="A266">
        <v>264</v>
      </c>
      <c r="B266">
        <v>9654</v>
      </c>
      <c r="C266">
        <v>42</v>
      </c>
      <c r="D266" t="s">
        <v>9</v>
      </c>
      <c r="E266" t="b">
        <v>1</v>
      </c>
      <c r="F266" s="1">
        <v>45249</v>
      </c>
      <c r="G266">
        <v>23</v>
      </c>
      <c r="H266">
        <v>188585</v>
      </c>
    </row>
    <row r="267" spans="1:8" x14ac:dyDescent="0.35">
      <c r="A267">
        <v>265</v>
      </c>
      <c r="B267">
        <v>8985</v>
      </c>
      <c r="C267">
        <v>40</v>
      </c>
      <c r="D267" t="s">
        <v>12</v>
      </c>
      <c r="E267" t="b">
        <v>1</v>
      </c>
      <c r="F267" s="1">
        <v>30896</v>
      </c>
      <c r="G267">
        <v>22</v>
      </c>
      <c r="H267">
        <v>170616</v>
      </c>
    </row>
    <row r="268" spans="1:8" x14ac:dyDescent="0.35">
      <c r="A268">
        <v>266</v>
      </c>
      <c r="B268">
        <v>2461</v>
      </c>
      <c r="C268">
        <v>29</v>
      </c>
      <c r="D268" t="s">
        <v>11</v>
      </c>
      <c r="E268" t="b">
        <v>1</v>
      </c>
      <c r="F268" s="1">
        <v>42204</v>
      </c>
      <c r="G268">
        <v>10</v>
      </c>
      <c r="H268">
        <v>76240</v>
      </c>
    </row>
    <row r="269" spans="1:8" x14ac:dyDescent="0.35">
      <c r="A269">
        <v>267</v>
      </c>
      <c r="B269">
        <v>3151</v>
      </c>
      <c r="C269">
        <v>33</v>
      </c>
      <c r="D269" t="s">
        <v>11</v>
      </c>
      <c r="E269" t="b">
        <v>1</v>
      </c>
      <c r="F269" s="1">
        <v>34309</v>
      </c>
      <c r="G269">
        <v>15</v>
      </c>
      <c r="H269">
        <v>126615</v>
      </c>
    </row>
    <row r="270" spans="1:8" x14ac:dyDescent="0.35">
      <c r="A270">
        <v>268</v>
      </c>
      <c r="B270">
        <v>7639</v>
      </c>
      <c r="C270">
        <v>56</v>
      </c>
      <c r="D270" t="s">
        <v>10</v>
      </c>
      <c r="E270" t="b">
        <v>0</v>
      </c>
      <c r="F270" s="1">
        <v>25832</v>
      </c>
      <c r="G270">
        <v>28</v>
      </c>
      <c r="H270">
        <v>229698</v>
      </c>
    </row>
    <row r="271" spans="1:8" x14ac:dyDescent="0.35">
      <c r="A271">
        <v>269</v>
      </c>
      <c r="B271">
        <v>5916</v>
      </c>
      <c r="C271">
        <v>56</v>
      </c>
      <c r="D271" t="s">
        <v>12</v>
      </c>
      <c r="E271" t="b">
        <v>0</v>
      </c>
      <c r="F271" s="1">
        <v>33732</v>
      </c>
      <c r="G271">
        <v>24</v>
      </c>
      <c r="H271">
        <v>187784</v>
      </c>
    </row>
    <row r="272" spans="1:8" x14ac:dyDescent="0.35">
      <c r="A272">
        <v>270</v>
      </c>
      <c r="B272">
        <v>9431</v>
      </c>
      <c r="C272">
        <v>36</v>
      </c>
      <c r="D272" t="s">
        <v>8</v>
      </c>
      <c r="E272" t="b">
        <v>1</v>
      </c>
      <c r="F272" s="1">
        <v>40317</v>
      </c>
      <c r="G272">
        <v>16</v>
      </c>
      <c r="H272">
        <v>138129</v>
      </c>
    </row>
    <row r="273" spans="1:8" x14ac:dyDescent="0.35">
      <c r="A273">
        <v>271</v>
      </c>
      <c r="B273">
        <v>3881</v>
      </c>
      <c r="C273">
        <v>23</v>
      </c>
      <c r="D273" t="s">
        <v>12</v>
      </c>
      <c r="E273" t="b">
        <v>1</v>
      </c>
      <c r="F273" s="1">
        <v>26336</v>
      </c>
      <c r="G273">
        <v>9</v>
      </c>
      <c r="H273">
        <v>67144</v>
      </c>
    </row>
    <row r="274" spans="1:8" x14ac:dyDescent="0.35">
      <c r="A274">
        <v>272</v>
      </c>
      <c r="B274">
        <v>4413</v>
      </c>
      <c r="C274">
        <v>64</v>
      </c>
      <c r="D274" t="s">
        <v>10</v>
      </c>
      <c r="E274" t="b">
        <v>0</v>
      </c>
      <c r="F274" s="1">
        <v>38469</v>
      </c>
      <c r="G274">
        <v>29</v>
      </c>
      <c r="H274">
        <v>239949</v>
      </c>
    </row>
    <row r="275" spans="1:8" x14ac:dyDescent="0.35">
      <c r="A275">
        <v>273</v>
      </c>
      <c r="B275">
        <v>6996</v>
      </c>
      <c r="C275">
        <v>50</v>
      </c>
      <c r="D275" t="s">
        <v>12</v>
      </c>
      <c r="E275" t="b">
        <v>1</v>
      </c>
      <c r="F275" s="1">
        <v>30504</v>
      </c>
      <c r="G275">
        <v>21</v>
      </c>
      <c r="H275">
        <v>179365</v>
      </c>
    </row>
    <row r="276" spans="1:8" x14ac:dyDescent="0.35">
      <c r="A276">
        <v>274</v>
      </c>
      <c r="B276">
        <v>9067</v>
      </c>
      <c r="C276">
        <v>50</v>
      </c>
      <c r="D276" t="s">
        <v>10</v>
      </c>
      <c r="E276" t="b">
        <v>1</v>
      </c>
      <c r="F276" s="1">
        <v>27018</v>
      </c>
      <c r="G276">
        <v>24</v>
      </c>
      <c r="H276">
        <v>187838</v>
      </c>
    </row>
    <row r="277" spans="1:8" x14ac:dyDescent="0.35">
      <c r="A277">
        <v>275</v>
      </c>
      <c r="B277">
        <v>7346</v>
      </c>
      <c r="C277">
        <v>25</v>
      </c>
      <c r="D277" t="s">
        <v>8</v>
      </c>
      <c r="E277" t="b">
        <v>0</v>
      </c>
      <c r="F277" s="1">
        <v>43285</v>
      </c>
      <c r="G277">
        <v>16</v>
      </c>
      <c r="H277">
        <v>132450</v>
      </c>
    </row>
    <row r="278" spans="1:8" x14ac:dyDescent="0.35">
      <c r="A278">
        <v>276</v>
      </c>
      <c r="B278">
        <v>5348</v>
      </c>
      <c r="C278">
        <v>51</v>
      </c>
      <c r="D278" t="s">
        <v>12</v>
      </c>
      <c r="E278" t="b">
        <v>0</v>
      </c>
      <c r="F278" s="1">
        <v>34080</v>
      </c>
      <c r="G278">
        <v>27</v>
      </c>
      <c r="H278">
        <v>205100</v>
      </c>
    </row>
    <row r="279" spans="1:8" x14ac:dyDescent="0.35">
      <c r="A279">
        <v>277</v>
      </c>
      <c r="B279">
        <v>8654</v>
      </c>
      <c r="C279">
        <v>33</v>
      </c>
      <c r="D279" t="s">
        <v>11</v>
      </c>
      <c r="E279" t="b">
        <v>0</v>
      </c>
      <c r="F279" s="1">
        <v>32108</v>
      </c>
      <c r="G279">
        <v>14</v>
      </c>
      <c r="H279">
        <v>116747</v>
      </c>
    </row>
    <row r="280" spans="1:8" x14ac:dyDescent="0.35">
      <c r="A280">
        <v>278</v>
      </c>
      <c r="B280">
        <v>6135</v>
      </c>
      <c r="C280">
        <v>39</v>
      </c>
      <c r="D280" t="s">
        <v>12</v>
      </c>
      <c r="E280" t="b">
        <v>0</v>
      </c>
      <c r="F280" s="1">
        <v>32578</v>
      </c>
      <c r="G280">
        <v>20</v>
      </c>
      <c r="H280">
        <v>163267</v>
      </c>
    </row>
    <row r="281" spans="1:8" x14ac:dyDescent="0.35">
      <c r="A281">
        <v>279</v>
      </c>
      <c r="B281">
        <v>9855</v>
      </c>
      <c r="C281">
        <v>52</v>
      </c>
      <c r="D281" t="s">
        <v>12</v>
      </c>
      <c r="E281" t="b">
        <v>0</v>
      </c>
      <c r="F281" s="1">
        <v>37115</v>
      </c>
      <c r="G281">
        <v>25</v>
      </c>
      <c r="H281">
        <v>201417</v>
      </c>
    </row>
    <row r="282" spans="1:8" x14ac:dyDescent="0.35">
      <c r="A282">
        <v>280</v>
      </c>
      <c r="B282">
        <v>4372</v>
      </c>
      <c r="C282">
        <v>24</v>
      </c>
      <c r="D282" t="s">
        <v>12</v>
      </c>
      <c r="E282" t="b">
        <v>0</v>
      </c>
      <c r="F282" s="1">
        <v>39425</v>
      </c>
      <c r="G282">
        <v>10</v>
      </c>
      <c r="H282">
        <v>81020</v>
      </c>
    </row>
    <row r="283" spans="1:8" x14ac:dyDescent="0.35">
      <c r="A283">
        <v>281</v>
      </c>
      <c r="B283">
        <v>5929</v>
      </c>
      <c r="C283">
        <v>54</v>
      </c>
      <c r="D283" t="s">
        <v>8</v>
      </c>
      <c r="E283" t="b">
        <v>0</v>
      </c>
      <c r="F283" s="1">
        <v>43766</v>
      </c>
      <c r="G283">
        <v>28</v>
      </c>
      <c r="H283">
        <v>223674</v>
      </c>
    </row>
    <row r="284" spans="1:8" x14ac:dyDescent="0.35">
      <c r="A284">
        <v>282</v>
      </c>
      <c r="B284">
        <v>3596</v>
      </c>
      <c r="C284">
        <v>47</v>
      </c>
      <c r="D284" t="s">
        <v>9</v>
      </c>
      <c r="E284" t="b">
        <v>1</v>
      </c>
      <c r="F284" s="1">
        <v>36206</v>
      </c>
      <c r="G284">
        <v>26</v>
      </c>
      <c r="H284">
        <v>210860</v>
      </c>
    </row>
    <row r="285" spans="1:8" x14ac:dyDescent="0.35">
      <c r="A285">
        <v>283</v>
      </c>
      <c r="B285">
        <v>5750</v>
      </c>
      <c r="C285">
        <v>43</v>
      </c>
      <c r="D285" t="s">
        <v>8</v>
      </c>
      <c r="E285" t="b">
        <v>1</v>
      </c>
      <c r="F285" s="1">
        <v>44767</v>
      </c>
      <c r="G285">
        <v>21</v>
      </c>
      <c r="H285">
        <v>166151</v>
      </c>
    </row>
    <row r="286" spans="1:8" x14ac:dyDescent="0.35">
      <c r="A286">
        <v>284</v>
      </c>
      <c r="B286">
        <v>6969</v>
      </c>
      <c r="C286">
        <v>49</v>
      </c>
      <c r="D286" t="s">
        <v>9</v>
      </c>
      <c r="E286" t="b">
        <v>1</v>
      </c>
      <c r="F286" s="1">
        <v>38161</v>
      </c>
      <c r="G286">
        <v>27</v>
      </c>
      <c r="H286">
        <v>221768</v>
      </c>
    </row>
    <row r="287" spans="1:8" x14ac:dyDescent="0.35">
      <c r="A287">
        <v>285</v>
      </c>
      <c r="B287">
        <v>9046</v>
      </c>
      <c r="C287">
        <v>61</v>
      </c>
      <c r="D287" t="s">
        <v>10</v>
      </c>
      <c r="E287" t="b">
        <v>1</v>
      </c>
      <c r="F287" s="1">
        <v>44615</v>
      </c>
      <c r="G287">
        <v>28</v>
      </c>
      <c r="H287">
        <v>228336</v>
      </c>
    </row>
    <row r="288" spans="1:8" x14ac:dyDescent="0.35">
      <c r="A288">
        <v>286</v>
      </c>
      <c r="B288">
        <v>4744</v>
      </c>
      <c r="C288">
        <v>23</v>
      </c>
      <c r="D288" t="s">
        <v>8</v>
      </c>
      <c r="E288" t="b">
        <v>0</v>
      </c>
      <c r="F288" s="1">
        <v>35517</v>
      </c>
      <c r="G288">
        <v>10</v>
      </c>
      <c r="H288">
        <v>83287</v>
      </c>
    </row>
    <row r="289" spans="1:8" x14ac:dyDescent="0.35">
      <c r="A289">
        <v>287</v>
      </c>
      <c r="B289">
        <v>9279</v>
      </c>
      <c r="C289">
        <v>34</v>
      </c>
      <c r="D289" t="s">
        <v>11</v>
      </c>
      <c r="E289" t="b">
        <v>0</v>
      </c>
      <c r="F289" s="1">
        <v>25625</v>
      </c>
      <c r="G289">
        <v>14</v>
      </c>
      <c r="H289">
        <v>107405</v>
      </c>
    </row>
    <row r="290" spans="1:8" x14ac:dyDescent="0.35">
      <c r="A290">
        <v>288</v>
      </c>
      <c r="B290">
        <v>8703</v>
      </c>
      <c r="C290">
        <v>28</v>
      </c>
      <c r="D290" t="s">
        <v>8</v>
      </c>
      <c r="E290" t="b">
        <v>1</v>
      </c>
      <c r="F290" s="1">
        <v>36160</v>
      </c>
      <c r="G290">
        <v>14</v>
      </c>
      <c r="H290">
        <v>108456</v>
      </c>
    </row>
    <row r="291" spans="1:8" x14ac:dyDescent="0.35">
      <c r="A291">
        <v>289</v>
      </c>
      <c r="B291">
        <v>1390</v>
      </c>
      <c r="C291">
        <v>62</v>
      </c>
      <c r="D291" t="s">
        <v>10</v>
      </c>
      <c r="E291" t="b">
        <v>1</v>
      </c>
      <c r="F291" s="1">
        <v>39163</v>
      </c>
      <c r="G291">
        <v>34</v>
      </c>
      <c r="H291">
        <v>266769</v>
      </c>
    </row>
    <row r="292" spans="1:8" x14ac:dyDescent="0.35">
      <c r="A292">
        <v>290</v>
      </c>
      <c r="B292">
        <v>3432</v>
      </c>
      <c r="C292">
        <v>60</v>
      </c>
      <c r="D292" t="s">
        <v>10</v>
      </c>
      <c r="E292" t="b">
        <v>0</v>
      </c>
      <c r="F292" s="1">
        <v>33015</v>
      </c>
      <c r="G292">
        <v>28</v>
      </c>
      <c r="H292">
        <v>220626</v>
      </c>
    </row>
    <row r="293" spans="1:8" x14ac:dyDescent="0.35">
      <c r="A293">
        <v>291</v>
      </c>
      <c r="B293">
        <v>6674</v>
      </c>
      <c r="C293">
        <v>27</v>
      </c>
      <c r="D293" t="s">
        <v>9</v>
      </c>
      <c r="E293" t="b">
        <v>1</v>
      </c>
      <c r="F293" s="1">
        <v>40099</v>
      </c>
      <c r="G293">
        <v>11</v>
      </c>
      <c r="H293">
        <v>87783</v>
      </c>
    </row>
    <row r="294" spans="1:8" x14ac:dyDescent="0.35">
      <c r="A294">
        <v>292</v>
      </c>
      <c r="B294">
        <v>9406</v>
      </c>
      <c r="C294">
        <v>55</v>
      </c>
      <c r="D294" t="s">
        <v>11</v>
      </c>
      <c r="E294" t="b">
        <v>1</v>
      </c>
      <c r="F294" s="1">
        <v>36336</v>
      </c>
      <c r="G294">
        <v>28</v>
      </c>
      <c r="H294">
        <v>222819</v>
      </c>
    </row>
    <row r="295" spans="1:8" x14ac:dyDescent="0.35">
      <c r="A295">
        <v>293</v>
      </c>
      <c r="B295">
        <v>5410</v>
      </c>
      <c r="C295">
        <v>38</v>
      </c>
      <c r="D295" t="s">
        <v>8</v>
      </c>
      <c r="E295" t="b">
        <v>0</v>
      </c>
      <c r="F295" s="1">
        <v>41760</v>
      </c>
      <c r="G295">
        <v>19</v>
      </c>
      <c r="H295">
        <v>156891</v>
      </c>
    </row>
    <row r="296" spans="1:8" x14ac:dyDescent="0.35">
      <c r="A296">
        <v>294</v>
      </c>
      <c r="B296">
        <v>1985</v>
      </c>
      <c r="C296">
        <v>41</v>
      </c>
      <c r="D296" t="s">
        <v>10</v>
      </c>
      <c r="E296" t="b">
        <v>1</v>
      </c>
      <c r="F296" s="1">
        <v>45136</v>
      </c>
      <c r="G296">
        <v>20</v>
      </c>
      <c r="H296">
        <v>166454</v>
      </c>
    </row>
    <row r="297" spans="1:8" x14ac:dyDescent="0.35">
      <c r="A297">
        <v>295</v>
      </c>
      <c r="B297">
        <v>1586</v>
      </c>
      <c r="C297">
        <v>59</v>
      </c>
      <c r="D297" t="s">
        <v>8</v>
      </c>
      <c r="E297" t="b">
        <v>0</v>
      </c>
      <c r="F297" s="1">
        <v>29064</v>
      </c>
      <c r="G297">
        <v>28</v>
      </c>
      <c r="H297">
        <v>219860</v>
      </c>
    </row>
    <row r="298" spans="1:8" x14ac:dyDescent="0.35">
      <c r="A298">
        <v>296</v>
      </c>
      <c r="B298">
        <v>6512</v>
      </c>
      <c r="C298">
        <v>32</v>
      </c>
      <c r="D298" t="s">
        <v>11</v>
      </c>
      <c r="E298" t="b">
        <v>0</v>
      </c>
      <c r="F298" s="1">
        <v>29698</v>
      </c>
      <c r="G298">
        <v>14</v>
      </c>
      <c r="H298">
        <v>119827</v>
      </c>
    </row>
    <row r="299" spans="1:8" x14ac:dyDescent="0.35">
      <c r="A299">
        <v>297</v>
      </c>
      <c r="B299">
        <v>4130</v>
      </c>
      <c r="C299">
        <v>50</v>
      </c>
      <c r="D299" t="s">
        <v>12</v>
      </c>
      <c r="E299" t="b">
        <v>1</v>
      </c>
      <c r="F299" s="1">
        <v>25690</v>
      </c>
      <c r="G299">
        <v>25</v>
      </c>
      <c r="H299">
        <v>200843</v>
      </c>
    </row>
    <row r="300" spans="1:8" x14ac:dyDescent="0.35">
      <c r="A300">
        <v>298</v>
      </c>
      <c r="B300">
        <v>1545</v>
      </c>
      <c r="C300">
        <v>34</v>
      </c>
      <c r="D300" t="s">
        <v>9</v>
      </c>
      <c r="E300" t="b">
        <v>1</v>
      </c>
      <c r="F300" s="1">
        <v>42380</v>
      </c>
      <c r="G300">
        <v>17</v>
      </c>
      <c r="H300">
        <v>134412</v>
      </c>
    </row>
    <row r="301" spans="1:8" x14ac:dyDescent="0.35">
      <c r="A301">
        <v>299</v>
      </c>
      <c r="B301">
        <v>8876</v>
      </c>
      <c r="C301">
        <v>58</v>
      </c>
      <c r="D301" t="s">
        <v>9</v>
      </c>
      <c r="E301" t="b">
        <v>1</v>
      </c>
      <c r="F301" s="1">
        <v>35975</v>
      </c>
      <c r="G301">
        <v>29</v>
      </c>
      <c r="H301">
        <v>232716</v>
      </c>
    </row>
    <row r="302" spans="1:8" x14ac:dyDescent="0.35">
      <c r="A302">
        <v>300</v>
      </c>
      <c r="B302">
        <v>6444</v>
      </c>
      <c r="C302">
        <v>23</v>
      </c>
      <c r="D302" t="s">
        <v>8</v>
      </c>
      <c r="E302" t="b">
        <v>0</v>
      </c>
      <c r="F302" s="1">
        <v>29502</v>
      </c>
      <c r="G302">
        <v>13</v>
      </c>
      <c r="H302">
        <v>103933</v>
      </c>
    </row>
    <row r="303" spans="1:8" x14ac:dyDescent="0.35">
      <c r="A303">
        <v>301</v>
      </c>
      <c r="B303">
        <v>6852</v>
      </c>
      <c r="C303">
        <v>25</v>
      </c>
      <c r="D303" t="s">
        <v>9</v>
      </c>
      <c r="E303" t="b">
        <v>0</v>
      </c>
      <c r="F303" s="1">
        <v>40097</v>
      </c>
      <c r="G303">
        <v>12</v>
      </c>
      <c r="H303">
        <v>92047</v>
      </c>
    </row>
    <row r="304" spans="1:8" x14ac:dyDescent="0.35">
      <c r="A304">
        <v>302</v>
      </c>
      <c r="B304">
        <v>7321</v>
      </c>
      <c r="C304">
        <v>44</v>
      </c>
      <c r="D304" t="s">
        <v>9</v>
      </c>
      <c r="E304" t="b">
        <v>1</v>
      </c>
      <c r="F304" s="1">
        <v>41570</v>
      </c>
      <c r="G304">
        <v>22</v>
      </c>
      <c r="H304">
        <v>172886</v>
      </c>
    </row>
    <row r="305" spans="1:8" x14ac:dyDescent="0.35">
      <c r="A305">
        <v>303</v>
      </c>
      <c r="B305">
        <v>5556</v>
      </c>
      <c r="C305">
        <v>37</v>
      </c>
      <c r="D305" t="s">
        <v>12</v>
      </c>
      <c r="E305" t="b">
        <v>1</v>
      </c>
      <c r="F305" s="1">
        <v>29552</v>
      </c>
      <c r="G305">
        <v>17</v>
      </c>
      <c r="H305">
        <v>138827</v>
      </c>
    </row>
    <row r="306" spans="1:8" x14ac:dyDescent="0.35">
      <c r="A306">
        <v>304</v>
      </c>
      <c r="B306">
        <v>2377</v>
      </c>
      <c r="C306">
        <v>46</v>
      </c>
      <c r="D306" t="s">
        <v>8</v>
      </c>
      <c r="E306" t="b">
        <v>1</v>
      </c>
      <c r="F306" s="1">
        <v>39004</v>
      </c>
      <c r="G306">
        <v>22</v>
      </c>
      <c r="H306">
        <v>180896</v>
      </c>
    </row>
    <row r="307" spans="1:8" x14ac:dyDescent="0.35">
      <c r="A307">
        <v>305</v>
      </c>
      <c r="B307">
        <v>1169</v>
      </c>
      <c r="C307">
        <v>39</v>
      </c>
      <c r="D307" t="s">
        <v>9</v>
      </c>
      <c r="E307" t="b">
        <v>0</v>
      </c>
      <c r="F307" s="1">
        <v>34483</v>
      </c>
      <c r="G307">
        <v>17</v>
      </c>
      <c r="H307">
        <v>130190</v>
      </c>
    </row>
    <row r="308" spans="1:8" x14ac:dyDescent="0.35">
      <c r="A308">
        <v>306</v>
      </c>
      <c r="B308">
        <v>3130</v>
      </c>
      <c r="C308">
        <v>58</v>
      </c>
      <c r="D308" t="s">
        <v>12</v>
      </c>
      <c r="E308" t="b">
        <v>1</v>
      </c>
      <c r="F308" s="1">
        <v>25658</v>
      </c>
      <c r="G308">
        <v>26</v>
      </c>
      <c r="H308">
        <v>215277</v>
      </c>
    </row>
    <row r="309" spans="1:8" x14ac:dyDescent="0.35">
      <c r="A309">
        <v>307</v>
      </c>
      <c r="B309">
        <v>8296</v>
      </c>
      <c r="C309">
        <v>47</v>
      </c>
      <c r="D309" t="s">
        <v>10</v>
      </c>
      <c r="E309" t="b">
        <v>1</v>
      </c>
      <c r="F309" s="1">
        <v>27344</v>
      </c>
      <c r="G309">
        <v>26</v>
      </c>
      <c r="H309">
        <v>206424</v>
      </c>
    </row>
    <row r="310" spans="1:8" x14ac:dyDescent="0.35">
      <c r="A310">
        <v>308</v>
      </c>
      <c r="B310">
        <v>1465</v>
      </c>
      <c r="C310">
        <v>49</v>
      </c>
      <c r="D310" t="s">
        <v>11</v>
      </c>
      <c r="E310" t="b">
        <v>1</v>
      </c>
      <c r="F310" s="1">
        <v>39766</v>
      </c>
      <c r="G310">
        <v>23</v>
      </c>
      <c r="H310">
        <v>183184</v>
      </c>
    </row>
    <row r="311" spans="1:8" x14ac:dyDescent="0.35">
      <c r="A311">
        <v>309</v>
      </c>
      <c r="B311">
        <v>2460</v>
      </c>
      <c r="C311">
        <v>49</v>
      </c>
      <c r="D311" t="s">
        <v>10</v>
      </c>
      <c r="E311" t="b">
        <v>0</v>
      </c>
      <c r="F311" s="1">
        <v>44882</v>
      </c>
      <c r="G311">
        <v>27</v>
      </c>
      <c r="H311">
        <v>214559</v>
      </c>
    </row>
    <row r="312" spans="1:8" x14ac:dyDescent="0.35">
      <c r="A312">
        <v>310</v>
      </c>
      <c r="B312">
        <v>5218</v>
      </c>
      <c r="C312">
        <v>23</v>
      </c>
      <c r="D312" t="s">
        <v>12</v>
      </c>
      <c r="E312" t="b">
        <v>0</v>
      </c>
      <c r="F312" s="1">
        <v>41064</v>
      </c>
      <c r="G312">
        <v>13</v>
      </c>
      <c r="H312">
        <v>108976</v>
      </c>
    </row>
    <row r="313" spans="1:8" x14ac:dyDescent="0.35">
      <c r="A313">
        <v>311</v>
      </c>
      <c r="B313">
        <v>2582</v>
      </c>
      <c r="C313">
        <v>61</v>
      </c>
      <c r="D313" t="s">
        <v>9</v>
      </c>
      <c r="E313" t="b">
        <v>0</v>
      </c>
      <c r="F313" s="1">
        <v>38435</v>
      </c>
      <c r="G313">
        <v>28</v>
      </c>
      <c r="H313">
        <v>219409</v>
      </c>
    </row>
    <row r="314" spans="1:8" x14ac:dyDescent="0.35">
      <c r="A314">
        <v>312</v>
      </c>
      <c r="B314">
        <v>7872</v>
      </c>
      <c r="C314">
        <v>60</v>
      </c>
      <c r="D314" t="s">
        <v>11</v>
      </c>
      <c r="E314" t="b">
        <v>1</v>
      </c>
      <c r="F314" s="1">
        <v>43143</v>
      </c>
      <c r="G314">
        <v>28</v>
      </c>
      <c r="H314">
        <v>227772</v>
      </c>
    </row>
    <row r="315" spans="1:8" x14ac:dyDescent="0.35">
      <c r="A315">
        <v>313</v>
      </c>
      <c r="B315">
        <v>1548</v>
      </c>
      <c r="C315">
        <v>47</v>
      </c>
      <c r="D315" t="s">
        <v>11</v>
      </c>
      <c r="E315" t="b">
        <v>0</v>
      </c>
      <c r="F315" s="1">
        <v>26707</v>
      </c>
      <c r="G315">
        <v>21</v>
      </c>
      <c r="H315">
        <v>165170</v>
      </c>
    </row>
    <row r="316" spans="1:8" x14ac:dyDescent="0.35">
      <c r="A316">
        <v>314</v>
      </c>
      <c r="B316">
        <v>6510</v>
      </c>
      <c r="C316">
        <v>64</v>
      </c>
      <c r="D316" t="s">
        <v>8</v>
      </c>
      <c r="E316" t="b">
        <v>0</v>
      </c>
      <c r="F316" s="1">
        <v>36007</v>
      </c>
      <c r="G316">
        <v>29</v>
      </c>
      <c r="H316">
        <v>234199</v>
      </c>
    </row>
    <row r="317" spans="1:8" x14ac:dyDescent="0.35">
      <c r="A317">
        <v>315</v>
      </c>
      <c r="B317">
        <v>6788</v>
      </c>
      <c r="C317">
        <v>48</v>
      </c>
      <c r="D317" t="s">
        <v>8</v>
      </c>
      <c r="E317" t="b">
        <v>0</v>
      </c>
      <c r="F317" s="1">
        <v>30833</v>
      </c>
      <c r="G317">
        <v>26</v>
      </c>
      <c r="H317">
        <v>212050</v>
      </c>
    </row>
    <row r="318" spans="1:8" x14ac:dyDescent="0.35">
      <c r="A318">
        <v>316</v>
      </c>
      <c r="B318">
        <v>7404</v>
      </c>
      <c r="C318">
        <v>54</v>
      </c>
      <c r="D318" t="s">
        <v>12</v>
      </c>
      <c r="E318" t="b">
        <v>1</v>
      </c>
      <c r="F318" s="1">
        <v>43397</v>
      </c>
      <c r="G318">
        <v>31</v>
      </c>
      <c r="H318">
        <v>249856</v>
      </c>
    </row>
    <row r="319" spans="1:8" x14ac:dyDescent="0.35">
      <c r="A319">
        <v>317</v>
      </c>
      <c r="B319">
        <v>6438</v>
      </c>
      <c r="C319">
        <v>37</v>
      </c>
      <c r="D319" t="s">
        <v>10</v>
      </c>
      <c r="E319" t="b">
        <v>1</v>
      </c>
      <c r="F319" s="1">
        <v>40253</v>
      </c>
      <c r="G319">
        <v>18</v>
      </c>
      <c r="H319">
        <v>149464</v>
      </c>
    </row>
    <row r="320" spans="1:8" x14ac:dyDescent="0.35">
      <c r="A320">
        <v>318</v>
      </c>
      <c r="B320">
        <v>4847</v>
      </c>
      <c r="C320">
        <v>37</v>
      </c>
      <c r="D320" t="s">
        <v>9</v>
      </c>
      <c r="E320" t="b">
        <v>1</v>
      </c>
      <c r="F320" s="1">
        <v>27184</v>
      </c>
      <c r="G320">
        <v>16</v>
      </c>
      <c r="H320">
        <v>124970</v>
      </c>
    </row>
    <row r="321" spans="1:8" x14ac:dyDescent="0.35">
      <c r="A321">
        <v>319</v>
      </c>
      <c r="B321">
        <v>7292</v>
      </c>
      <c r="C321">
        <v>61</v>
      </c>
      <c r="D321" t="s">
        <v>11</v>
      </c>
      <c r="E321" t="b">
        <v>1</v>
      </c>
      <c r="F321" s="1">
        <v>39194</v>
      </c>
      <c r="G321">
        <v>32</v>
      </c>
      <c r="H321">
        <v>256982</v>
      </c>
    </row>
    <row r="322" spans="1:8" x14ac:dyDescent="0.35">
      <c r="A322">
        <v>320</v>
      </c>
      <c r="B322">
        <v>6925</v>
      </c>
      <c r="C322">
        <v>61</v>
      </c>
      <c r="D322" t="s">
        <v>12</v>
      </c>
      <c r="E322" t="b">
        <v>0</v>
      </c>
      <c r="F322" s="1">
        <v>30611</v>
      </c>
      <c r="G322">
        <v>31</v>
      </c>
      <c r="H322">
        <v>243928</v>
      </c>
    </row>
    <row r="323" spans="1:8" x14ac:dyDescent="0.35">
      <c r="A323">
        <v>321</v>
      </c>
      <c r="B323">
        <v>2232</v>
      </c>
      <c r="C323">
        <v>46</v>
      </c>
      <c r="D323" t="s">
        <v>11</v>
      </c>
      <c r="E323" t="b">
        <v>1</v>
      </c>
      <c r="F323" s="1">
        <v>34450</v>
      </c>
      <c r="G323">
        <v>23</v>
      </c>
      <c r="H323">
        <v>189606</v>
      </c>
    </row>
    <row r="324" spans="1:8" x14ac:dyDescent="0.35">
      <c r="A324">
        <v>322</v>
      </c>
      <c r="B324">
        <v>3471</v>
      </c>
      <c r="C324">
        <v>32</v>
      </c>
      <c r="D324" t="s">
        <v>10</v>
      </c>
      <c r="E324" t="b">
        <v>0</v>
      </c>
      <c r="F324" s="1">
        <v>39743</v>
      </c>
      <c r="G324">
        <v>16</v>
      </c>
      <c r="H324">
        <v>124879</v>
      </c>
    </row>
    <row r="325" spans="1:8" x14ac:dyDescent="0.35">
      <c r="A325">
        <v>323</v>
      </c>
      <c r="B325">
        <v>3537</v>
      </c>
      <c r="C325">
        <v>34</v>
      </c>
      <c r="D325" t="s">
        <v>8</v>
      </c>
      <c r="E325" t="b">
        <v>1</v>
      </c>
      <c r="F325" s="1">
        <v>43135</v>
      </c>
      <c r="G325">
        <v>15</v>
      </c>
      <c r="H325">
        <v>121239</v>
      </c>
    </row>
    <row r="326" spans="1:8" x14ac:dyDescent="0.35">
      <c r="A326">
        <v>324</v>
      </c>
      <c r="B326">
        <v>9164</v>
      </c>
      <c r="C326">
        <v>25</v>
      </c>
      <c r="D326" t="s">
        <v>8</v>
      </c>
      <c r="E326" t="b">
        <v>0</v>
      </c>
      <c r="F326" s="1">
        <v>43672</v>
      </c>
      <c r="G326">
        <v>9</v>
      </c>
      <c r="H326">
        <v>75895</v>
      </c>
    </row>
    <row r="327" spans="1:8" x14ac:dyDescent="0.35">
      <c r="A327">
        <v>325</v>
      </c>
      <c r="B327">
        <v>6318</v>
      </c>
      <c r="C327">
        <v>42</v>
      </c>
      <c r="D327" t="s">
        <v>10</v>
      </c>
      <c r="E327" t="b">
        <v>0</v>
      </c>
      <c r="F327" s="1">
        <v>29526</v>
      </c>
      <c r="G327">
        <v>22</v>
      </c>
      <c r="H327">
        <v>176472</v>
      </c>
    </row>
    <row r="328" spans="1:8" x14ac:dyDescent="0.35">
      <c r="A328">
        <v>326</v>
      </c>
      <c r="B328">
        <v>9734</v>
      </c>
      <c r="C328">
        <v>52</v>
      </c>
      <c r="D328" t="s">
        <v>10</v>
      </c>
      <c r="E328" t="b">
        <v>1</v>
      </c>
      <c r="F328" s="1">
        <v>40774</v>
      </c>
      <c r="G328">
        <v>27</v>
      </c>
      <c r="H328">
        <v>212809</v>
      </c>
    </row>
    <row r="329" spans="1:8" x14ac:dyDescent="0.35">
      <c r="A329">
        <v>327</v>
      </c>
      <c r="B329">
        <v>6820</v>
      </c>
      <c r="C329">
        <v>42</v>
      </c>
      <c r="D329" t="s">
        <v>9</v>
      </c>
      <c r="E329" t="b">
        <v>0</v>
      </c>
      <c r="F329" s="1">
        <v>29839</v>
      </c>
      <c r="G329">
        <v>20</v>
      </c>
      <c r="H329">
        <v>163828</v>
      </c>
    </row>
    <row r="330" spans="1:8" x14ac:dyDescent="0.35">
      <c r="A330">
        <v>328</v>
      </c>
      <c r="B330">
        <v>5827</v>
      </c>
      <c r="C330">
        <v>27</v>
      </c>
      <c r="D330" t="s">
        <v>11</v>
      </c>
      <c r="E330" t="b">
        <v>0</v>
      </c>
      <c r="F330" s="1">
        <v>33797</v>
      </c>
      <c r="G330">
        <v>13</v>
      </c>
      <c r="H330">
        <v>108619</v>
      </c>
    </row>
    <row r="331" spans="1:8" x14ac:dyDescent="0.35">
      <c r="A331">
        <v>329</v>
      </c>
      <c r="B331">
        <v>5708</v>
      </c>
      <c r="C331">
        <v>37</v>
      </c>
      <c r="D331" t="s">
        <v>11</v>
      </c>
      <c r="E331" t="b">
        <v>1</v>
      </c>
      <c r="F331" s="1">
        <v>32970</v>
      </c>
      <c r="G331">
        <v>19</v>
      </c>
      <c r="H331">
        <v>152992</v>
      </c>
    </row>
    <row r="332" spans="1:8" x14ac:dyDescent="0.35">
      <c r="A332">
        <v>330</v>
      </c>
      <c r="B332">
        <v>9126</v>
      </c>
      <c r="C332">
        <v>43</v>
      </c>
      <c r="D332" t="s">
        <v>10</v>
      </c>
      <c r="E332" t="b">
        <v>0</v>
      </c>
      <c r="F332" s="1">
        <v>37491</v>
      </c>
      <c r="G332">
        <v>20</v>
      </c>
      <c r="H332">
        <v>154462</v>
      </c>
    </row>
    <row r="333" spans="1:8" x14ac:dyDescent="0.35">
      <c r="A333">
        <v>331</v>
      </c>
      <c r="B333">
        <v>1862</v>
      </c>
      <c r="C333">
        <v>39</v>
      </c>
      <c r="D333" t="s">
        <v>9</v>
      </c>
      <c r="E333" t="b">
        <v>1</v>
      </c>
      <c r="F333" s="1">
        <v>42730</v>
      </c>
      <c r="G333">
        <v>18</v>
      </c>
      <c r="H333">
        <v>143605</v>
      </c>
    </row>
    <row r="334" spans="1:8" x14ac:dyDescent="0.35">
      <c r="A334">
        <v>332</v>
      </c>
      <c r="B334">
        <v>3905</v>
      </c>
      <c r="C334">
        <v>39</v>
      </c>
      <c r="D334" t="s">
        <v>8</v>
      </c>
      <c r="E334" t="b">
        <v>0</v>
      </c>
      <c r="F334" s="1">
        <v>35580</v>
      </c>
      <c r="G334">
        <v>15</v>
      </c>
      <c r="H334">
        <v>117870</v>
      </c>
    </row>
    <row r="335" spans="1:8" x14ac:dyDescent="0.35">
      <c r="A335">
        <v>333</v>
      </c>
      <c r="B335">
        <v>5504</v>
      </c>
      <c r="C335">
        <v>54</v>
      </c>
      <c r="D335" t="s">
        <v>8</v>
      </c>
      <c r="E335" t="b">
        <v>1</v>
      </c>
      <c r="F335" s="1">
        <v>39631</v>
      </c>
      <c r="G335">
        <v>28</v>
      </c>
      <c r="H335">
        <v>223902</v>
      </c>
    </row>
    <row r="336" spans="1:8" x14ac:dyDescent="0.35">
      <c r="A336">
        <v>334</v>
      </c>
      <c r="B336">
        <v>1819</v>
      </c>
      <c r="C336">
        <v>31</v>
      </c>
      <c r="D336" t="s">
        <v>11</v>
      </c>
      <c r="E336" t="b">
        <v>1</v>
      </c>
      <c r="F336" s="1">
        <v>39961</v>
      </c>
      <c r="G336">
        <v>14</v>
      </c>
      <c r="H336">
        <v>115875</v>
      </c>
    </row>
    <row r="337" spans="1:8" x14ac:dyDescent="0.35">
      <c r="A337">
        <v>335</v>
      </c>
      <c r="B337">
        <v>2901</v>
      </c>
      <c r="C337">
        <v>46</v>
      </c>
      <c r="D337" t="s">
        <v>10</v>
      </c>
      <c r="E337" t="b">
        <v>0</v>
      </c>
      <c r="F337" s="1">
        <v>38082</v>
      </c>
      <c r="G337">
        <v>24</v>
      </c>
      <c r="H337">
        <v>187168</v>
      </c>
    </row>
    <row r="338" spans="1:8" x14ac:dyDescent="0.35">
      <c r="A338">
        <v>336</v>
      </c>
      <c r="B338">
        <v>8229</v>
      </c>
      <c r="C338">
        <v>64</v>
      </c>
      <c r="D338" t="s">
        <v>10</v>
      </c>
      <c r="E338" t="b">
        <v>1</v>
      </c>
      <c r="F338" s="1">
        <v>35757</v>
      </c>
      <c r="G338">
        <v>33</v>
      </c>
      <c r="H338">
        <v>265624</v>
      </c>
    </row>
    <row r="339" spans="1:8" x14ac:dyDescent="0.35">
      <c r="A339">
        <v>337</v>
      </c>
      <c r="B339">
        <v>9442</v>
      </c>
      <c r="C339">
        <v>62</v>
      </c>
      <c r="D339" t="s">
        <v>10</v>
      </c>
      <c r="E339" t="b">
        <v>0</v>
      </c>
      <c r="F339" s="1">
        <v>36899</v>
      </c>
      <c r="G339">
        <v>32</v>
      </c>
      <c r="H339">
        <v>259400</v>
      </c>
    </row>
    <row r="340" spans="1:8" x14ac:dyDescent="0.35">
      <c r="A340">
        <v>338</v>
      </c>
      <c r="B340">
        <v>4796</v>
      </c>
      <c r="C340">
        <v>28</v>
      </c>
      <c r="D340" t="s">
        <v>8</v>
      </c>
      <c r="E340" t="b">
        <v>1</v>
      </c>
      <c r="F340" s="1">
        <v>31129</v>
      </c>
      <c r="G340">
        <v>15</v>
      </c>
      <c r="H340">
        <v>113486</v>
      </c>
    </row>
    <row r="341" spans="1:8" x14ac:dyDescent="0.35">
      <c r="A341">
        <v>339</v>
      </c>
      <c r="B341">
        <v>1890</v>
      </c>
      <c r="C341">
        <v>26</v>
      </c>
      <c r="D341" t="s">
        <v>10</v>
      </c>
      <c r="E341" t="b">
        <v>1</v>
      </c>
      <c r="F341" s="1">
        <v>32540</v>
      </c>
      <c r="G341">
        <v>13</v>
      </c>
      <c r="H341">
        <v>102162</v>
      </c>
    </row>
    <row r="342" spans="1:8" x14ac:dyDescent="0.35">
      <c r="A342">
        <v>340</v>
      </c>
      <c r="B342">
        <v>2321</v>
      </c>
      <c r="C342">
        <v>52</v>
      </c>
      <c r="D342" t="s">
        <v>11</v>
      </c>
      <c r="E342" t="b">
        <v>1</v>
      </c>
      <c r="F342" s="1">
        <v>36723</v>
      </c>
      <c r="G342">
        <v>25</v>
      </c>
      <c r="H342">
        <v>200331</v>
      </c>
    </row>
    <row r="343" spans="1:8" x14ac:dyDescent="0.35">
      <c r="A343">
        <v>341</v>
      </c>
      <c r="B343">
        <v>6947</v>
      </c>
      <c r="C343">
        <v>35</v>
      </c>
      <c r="D343" t="s">
        <v>8</v>
      </c>
      <c r="E343" t="b">
        <v>1</v>
      </c>
      <c r="F343" s="1">
        <v>33191</v>
      </c>
      <c r="G343">
        <v>18</v>
      </c>
      <c r="H343">
        <v>143134</v>
      </c>
    </row>
    <row r="344" spans="1:8" x14ac:dyDescent="0.35">
      <c r="A344">
        <v>342</v>
      </c>
      <c r="B344">
        <v>2401</v>
      </c>
      <c r="C344">
        <v>41</v>
      </c>
      <c r="D344" t="s">
        <v>9</v>
      </c>
      <c r="E344" t="b">
        <v>1</v>
      </c>
      <c r="F344" s="1">
        <v>25830</v>
      </c>
      <c r="G344">
        <v>20</v>
      </c>
      <c r="H344">
        <v>152367</v>
      </c>
    </row>
    <row r="345" spans="1:8" x14ac:dyDescent="0.35">
      <c r="A345">
        <v>343</v>
      </c>
      <c r="B345">
        <v>3015</v>
      </c>
      <c r="C345">
        <v>62</v>
      </c>
      <c r="D345" t="s">
        <v>12</v>
      </c>
      <c r="E345" t="b">
        <v>0</v>
      </c>
      <c r="F345" s="1">
        <v>43021</v>
      </c>
      <c r="G345">
        <v>31</v>
      </c>
      <c r="H345">
        <v>241831</v>
      </c>
    </row>
    <row r="346" spans="1:8" x14ac:dyDescent="0.35">
      <c r="A346">
        <v>344</v>
      </c>
      <c r="B346">
        <v>6354</v>
      </c>
      <c r="C346">
        <v>46</v>
      </c>
      <c r="D346" t="s">
        <v>8</v>
      </c>
      <c r="E346" t="b">
        <v>1</v>
      </c>
      <c r="F346" s="1">
        <v>43886</v>
      </c>
      <c r="G346">
        <v>22</v>
      </c>
      <c r="H346">
        <v>174392</v>
      </c>
    </row>
    <row r="347" spans="1:8" x14ac:dyDescent="0.35">
      <c r="A347">
        <v>345</v>
      </c>
      <c r="B347">
        <v>9023</v>
      </c>
      <c r="C347">
        <v>44</v>
      </c>
      <c r="D347" t="s">
        <v>9</v>
      </c>
      <c r="E347" t="b">
        <v>1</v>
      </c>
      <c r="F347" s="1">
        <v>36328</v>
      </c>
      <c r="G347">
        <v>21</v>
      </c>
      <c r="H347">
        <v>166153</v>
      </c>
    </row>
    <row r="348" spans="1:8" x14ac:dyDescent="0.35">
      <c r="A348">
        <v>346</v>
      </c>
      <c r="B348">
        <v>9431</v>
      </c>
      <c r="C348">
        <v>22</v>
      </c>
      <c r="D348" t="s">
        <v>12</v>
      </c>
      <c r="E348" t="b">
        <v>0</v>
      </c>
      <c r="F348" s="1">
        <v>30773</v>
      </c>
      <c r="G348">
        <v>14</v>
      </c>
      <c r="H348">
        <v>116114</v>
      </c>
    </row>
    <row r="349" spans="1:8" x14ac:dyDescent="0.35">
      <c r="A349">
        <v>347</v>
      </c>
      <c r="B349">
        <v>1279</v>
      </c>
      <c r="C349">
        <v>54</v>
      </c>
      <c r="D349" t="s">
        <v>9</v>
      </c>
      <c r="E349" t="b">
        <v>0</v>
      </c>
      <c r="F349" s="1">
        <v>29702</v>
      </c>
      <c r="G349">
        <v>26</v>
      </c>
      <c r="H349">
        <v>215298</v>
      </c>
    </row>
    <row r="350" spans="1:8" x14ac:dyDescent="0.35">
      <c r="A350">
        <v>348</v>
      </c>
      <c r="B350">
        <v>5865</v>
      </c>
      <c r="C350">
        <v>44</v>
      </c>
      <c r="D350" t="s">
        <v>9</v>
      </c>
      <c r="E350" t="b">
        <v>0</v>
      </c>
      <c r="F350" s="1">
        <v>44517</v>
      </c>
      <c r="G350">
        <v>20</v>
      </c>
      <c r="H350">
        <v>161836</v>
      </c>
    </row>
    <row r="351" spans="1:8" x14ac:dyDescent="0.35">
      <c r="A351">
        <v>349</v>
      </c>
      <c r="B351">
        <v>8816</v>
      </c>
      <c r="C351">
        <v>43</v>
      </c>
      <c r="D351" t="s">
        <v>12</v>
      </c>
      <c r="E351" t="b">
        <v>1</v>
      </c>
      <c r="F351" s="1">
        <v>35134</v>
      </c>
      <c r="G351">
        <v>21</v>
      </c>
      <c r="H351">
        <v>156464</v>
      </c>
    </row>
    <row r="352" spans="1:8" x14ac:dyDescent="0.35">
      <c r="A352">
        <v>350</v>
      </c>
      <c r="B352">
        <v>7352</v>
      </c>
      <c r="C352">
        <v>51</v>
      </c>
      <c r="D352" t="s">
        <v>10</v>
      </c>
      <c r="E352" t="b">
        <v>1</v>
      </c>
      <c r="F352" s="1">
        <v>35140</v>
      </c>
      <c r="G352">
        <v>21</v>
      </c>
      <c r="H352">
        <v>161728</v>
      </c>
    </row>
    <row r="353" spans="1:8" x14ac:dyDescent="0.35">
      <c r="A353">
        <v>351</v>
      </c>
      <c r="B353">
        <v>8570</v>
      </c>
      <c r="C353">
        <v>26</v>
      </c>
      <c r="D353" t="s">
        <v>10</v>
      </c>
      <c r="E353" t="b">
        <v>1</v>
      </c>
      <c r="F353" s="1">
        <v>36214</v>
      </c>
      <c r="G353">
        <v>13</v>
      </c>
      <c r="H353">
        <v>108822</v>
      </c>
    </row>
    <row r="354" spans="1:8" x14ac:dyDescent="0.35">
      <c r="A354">
        <v>352</v>
      </c>
      <c r="B354">
        <v>7873</v>
      </c>
      <c r="C354">
        <v>62</v>
      </c>
      <c r="D354" t="s">
        <v>12</v>
      </c>
      <c r="E354" t="b">
        <v>1</v>
      </c>
      <c r="F354" s="1">
        <v>30672</v>
      </c>
      <c r="G354">
        <v>31</v>
      </c>
      <c r="H354">
        <v>242129</v>
      </c>
    </row>
    <row r="355" spans="1:8" x14ac:dyDescent="0.35">
      <c r="A355">
        <v>353</v>
      </c>
      <c r="B355">
        <v>5037</v>
      </c>
      <c r="C355">
        <v>49</v>
      </c>
      <c r="D355" t="s">
        <v>12</v>
      </c>
      <c r="E355" t="b">
        <v>1</v>
      </c>
      <c r="F355" s="1">
        <v>38596</v>
      </c>
      <c r="G355">
        <v>25</v>
      </c>
      <c r="H355">
        <v>208439</v>
      </c>
    </row>
    <row r="356" spans="1:8" x14ac:dyDescent="0.35">
      <c r="A356">
        <v>354</v>
      </c>
      <c r="B356">
        <v>6812</v>
      </c>
      <c r="C356">
        <v>31</v>
      </c>
      <c r="D356" t="s">
        <v>10</v>
      </c>
      <c r="E356" t="b">
        <v>1</v>
      </c>
      <c r="F356" s="1">
        <v>26883</v>
      </c>
      <c r="G356">
        <v>16</v>
      </c>
      <c r="H356">
        <v>132859</v>
      </c>
    </row>
    <row r="357" spans="1:8" x14ac:dyDescent="0.35">
      <c r="A357">
        <v>355</v>
      </c>
      <c r="B357">
        <v>6228</v>
      </c>
      <c r="C357">
        <v>48</v>
      </c>
      <c r="D357" t="s">
        <v>12</v>
      </c>
      <c r="E357" t="b">
        <v>0</v>
      </c>
      <c r="F357" s="1">
        <v>31508</v>
      </c>
      <c r="G357">
        <v>25</v>
      </c>
      <c r="H357">
        <v>197639</v>
      </c>
    </row>
    <row r="358" spans="1:8" x14ac:dyDescent="0.35">
      <c r="A358">
        <v>356</v>
      </c>
      <c r="B358">
        <v>1541</v>
      </c>
      <c r="C358">
        <v>27</v>
      </c>
      <c r="D358" t="s">
        <v>12</v>
      </c>
      <c r="E358" t="b">
        <v>1</v>
      </c>
      <c r="F358" s="1">
        <v>31696</v>
      </c>
      <c r="G358">
        <v>11</v>
      </c>
      <c r="H358">
        <v>78632</v>
      </c>
    </row>
    <row r="359" spans="1:8" x14ac:dyDescent="0.35">
      <c r="A359">
        <v>357</v>
      </c>
      <c r="B359">
        <v>4009</v>
      </c>
      <c r="C359">
        <v>23</v>
      </c>
      <c r="D359" t="s">
        <v>8</v>
      </c>
      <c r="E359" t="b">
        <v>1</v>
      </c>
      <c r="F359" s="1">
        <v>27712</v>
      </c>
      <c r="G359">
        <v>11</v>
      </c>
      <c r="H359">
        <v>80817</v>
      </c>
    </row>
    <row r="360" spans="1:8" x14ac:dyDescent="0.35">
      <c r="A360">
        <v>358</v>
      </c>
      <c r="B360">
        <v>8185</v>
      </c>
      <c r="C360">
        <v>46</v>
      </c>
      <c r="D360" t="s">
        <v>12</v>
      </c>
      <c r="E360" t="b">
        <v>0</v>
      </c>
      <c r="F360" s="1">
        <v>35164</v>
      </c>
      <c r="G360">
        <v>20</v>
      </c>
      <c r="H360">
        <v>169224</v>
      </c>
    </row>
    <row r="361" spans="1:8" x14ac:dyDescent="0.35">
      <c r="A361">
        <v>359</v>
      </c>
      <c r="B361">
        <v>8399</v>
      </c>
      <c r="C361">
        <v>24</v>
      </c>
      <c r="D361" t="s">
        <v>11</v>
      </c>
      <c r="E361" t="b">
        <v>1</v>
      </c>
      <c r="F361" s="1">
        <v>41150</v>
      </c>
      <c r="G361">
        <v>9</v>
      </c>
      <c r="H361">
        <v>69736</v>
      </c>
    </row>
    <row r="362" spans="1:8" x14ac:dyDescent="0.35">
      <c r="A362">
        <v>360</v>
      </c>
      <c r="B362">
        <v>4196</v>
      </c>
      <c r="C362">
        <v>52</v>
      </c>
      <c r="D362" t="s">
        <v>10</v>
      </c>
      <c r="E362" t="b">
        <v>0</v>
      </c>
      <c r="F362" s="1">
        <v>41759</v>
      </c>
      <c r="G362">
        <v>22</v>
      </c>
      <c r="H362">
        <v>172041</v>
      </c>
    </row>
    <row r="363" spans="1:8" x14ac:dyDescent="0.35">
      <c r="A363">
        <v>361</v>
      </c>
      <c r="B363">
        <v>1944</v>
      </c>
      <c r="C363">
        <v>49</v>
      </c>
      <c r="D363" t="s">
        <v>9</v>
      </c>
      <c r="E363" t="b">
        <v>0</v>
      </c>
      <c r="F363" s="1">
        <v>40910</v>
      </c>
      <c r="G363">
        <v>22</v>
      </c>
      <c r="H363">
        <v>175269</v>
      </c>
    </row>
    <row r="364" spans="1:8" x14ac:dyDescent="0.35">
      <c r="A364">
        <v>362</v>
      </c>
      <c r="B364">
        <v>4672</v>
      </c>
      <c r="C364">
        <v>27</v>
      </c>
      <c r="D364" t="s">
        <v>9</v>
      </c>
      <c r="E364" t="b">
        <v>0</v>
      </c>
      <c r="F364" s="1">
        <v>35247</v>
      </c>
      <c r="G364">
        <v>12</v>
      </c>
      <c r="H364">
        <v>96587</v>
      </c>
    </row>
    <row r="365" spans="1:8" x14ac:dyDescent="0.35">
      <c r="A365">
        <v>363</v>
      </c>
      <c r="B365">
        <v>2424</v>
      </c>
      <c r="C365">
        <v>61</v>
      </c>
      <c r="D365" t="s">
        <v>8</v>
      </c>
      <c r="E365" t="b">
        <v>1</v>
      </c>
      <c r="F365" s="1">
        <v>42772</v>
      </c>
      <c r="G365">
        <v>28</v>
      </c>
      <c r="H365">
        <v>228121</v>
      </c>
    </row>
    <row r="366" spans="1:8" x14ac:dyDescent="0.35">
      <c r="A366">
        <v>364</v>
      </c>
      <c r="B366">
        <v>3389</v>
      </c>
      <c r="C366">
        <v>57</v>
      </c>
      <c r="D366" t="s">
        <v>10</v>
      </c>
      <c r="E366" t="b">
        <v>0</v>
      </c>
      <c r="F366" s="1">
        <v>36031</v>
      </c>
      <c r="G366">
        <v>28</v>
      </c>
      <c r="H366">
        <v>219082</v>
      </c>
    </row>
    <row r="367" spans="1:8" x14ac:dyDescent="0.35">
      <c r="A367">
        <v>365</v>
      </c>
      <c r="B367">
        <v>9010</v>
      </c>
      <c r="C367">
        <v>30</v>
      </c>
      <c r="D367" t="s">
        <v>9</v>
      </c>
      <c r="E367" t="b">
        <v>1</v>
      </c>
      <c r="F367" s="1">
        <v>26389</v>
      </c>
      <c r="G367">
        <v>14</v>
      </c>
      <c r="H367">
        <v>112660</v>
      </c>
    </row>
    <row r="368" spans="1:8" x14ac:dyDescent="0.35">
      <c r="A368">
        <v>366</v>
      </c>
      <c r="B368">
        <v>7713</v>
      </c>
      <c r="C368">
        <v>50</v>
      </c>
      <c r="D368" t="s">
        <v>9</v>
      </c>
      <c r="E368" t="b">
        <v>1</v>
      </c>
      <c r="F368" s="1">
        <v>33906</v>
      </c>
      <c r="G368">
        <v>24</v>
      </c>
      <c r="H368">
        <v>192120</v>
      </c>
    </row>
    <row r="369" spans="1:8" x14ac:dyDescent="0.35">
      <c r="A369">
        <v>367</v>
      </c>
      <c r="B369">
        <v>4303</v>
      </c>
      <c r="C369">
        <v>35</v>
      </c>
      <c r="D369" t="s">
        <v>8</v>
      </c>
      <c r="E369" t="b">
        <v>0</v>
      </c>
      <c r="F369" s="1">
        <v>43071</v>
      </c>
      <c r="G369">
        <v>17</v>
      </c>
      <c r="H369">
        <v>138446</v>
      </c>
    </row>
    <row r="370" spans="1:8" x14ac:dyDescent="0.35">
      <c r="A370">
        <v>368</v>
      </c>
      <c r="B370">
        <v>7683</v>
      </c>
      <c r="C370">
        <v>62</v>
      </c>
      <c r="D370" t="s">
        <v>10</v>
      </c>
      <c r="E370" t="b">
        <v>1</v>
      </c>
      <c r="F370" s="1">
        <v>42932</v>
      </c>
      <c r="G370">
        <v>31</v>
      </c>
      <c r="H370">
        <v>248320</v>
      </c>
    </row>
    <row r="371" spans="1:8" x14ac:dyDescent="0.35">
      <c r="A371">
        <v>369</v>
      </c>
      <c r="B371">
        <v>7362</v>
      </c>
      <c r="C371">
        <v>49</v>
      </c>
      <c r="D371" t="s">
        <v>10</v>
      </c>
      <c r="E371" t="b">
        <v>0</v>
      </c>
      <c r="F371" s="1">
        <v>40421</v>
      </c>
      <c r="G371">
        <v>20</v>
      </c>
      <c r="H371">
        <v>156711</v>
      </c>
    </row>
    <row r="372" spans="1:8" x14ac:dyDescent="0.35">
      <c r="A372">
        <v>370</v>
      </c>
      <c r="B372">
        <v>1718</v>
      </c>
      <c r="C372">
        <v>49</v>
      </c>
      <c r="D372" t="s">
        <v>12</v>
      </c>
      <c r="E372" t="b">
        <v>1</v>
      </c>
      <c r="F372" s="1">
        <v>43379</v>
      </c>
      <c r="G372">
        <v>28</v>
      </c>
      <c r="H372">
        <v>226499</v>
      </c>
    </row>
    <row r="373" spans="1:8" x14ac:dyDescent="0.35">
      <c r="A373">
        <v>371</v>
      </c>
      <c r="B373">
        <v>6548</v>
      </c>
      <c r="C373">
        <v>57</v>
      </c>
      <c r="D373" t="s">
        <v>12</v>
      </c>
      <c r="E373" t="b">
        <v>0</v>
      </c>
      <c r="F373" s="1">
        <v>38718</v>
      </c>
      <c r="G373">
        <v>27</v>
      </c>
      <c r="H373">
        <v>207647</v>
      </c>
    </row>
    <row r="374" spans="1:8" x14ac:dyDescent="0.35">
      <c r="A374">
        <v>372</v>
      </c>
      <c r="B374">
        <v>6273</v>
      </c>
      <c r="C374">
        <v>37</v>
      </c>
      <c r="D374" t="s">
        <v>11</v>
      </c>
      <c r="E374" t="b">
        <v>0</v>
      </c>
      <c r="F374" s="1">
        <v>34394</v>
      </c>
      <c r="G374">
        <v>19</v>
      </c>
      <c r="H374">
        <v>150282</v>
      </c>
    </row>
    <row r="375" spans="1:8" x14ac:dyDescent="0.35">
      <c r="A375">
        <v>373</v>
      </c>
      <c r="B375">
        <v>5076</v>
      </c>
      <c r="C375">
        <v>63</v>
      </c>
      <c r="D375" t="s">
        <v>10</v>
      </c>
      <c r="E375" t="b">
        <v>1</v>
      </c>
      <c r="F375" s="1">
        <v>32411</v>
      </c>
      <c r="G375">
        <v>36</v>
      </c>
      <c r="H375">
        <v>293410</v>
      </c>
    </row>
    <row r="376" spans="1:8" x14ac:dyDescent="0.35">
      <c r="A376">
        <v>374</v>
      </c>
      <c r="B376">
        <v>6914</v>
      </c>
      <c r="C376">
        <v>23</v>
      </c>
      <c r="D376" t="s">
        <v>9</v>
      </c>
      <c r="E376" t="b">
        <v>0</v>
      </c>
      <c r="F376" s="1">
        <v>40244</v>
      </c>
      <c r="G376">
        <v>9</v>
      </c>
      <c r="H376">
        <v>66124</v>
      </c>
    </row>
    <row r="377" spans="1:8" x14ac:dyDescent="0.35">
      <c r="A377">
        <v>375</v>
      </c>
      <c r="B377">
        <v>1068</v>
      </c>
      <c r="C377">
        <v>47</v>
      </c>
      <c r="D377" t="s">
        <v>12</v>
      </c>
      <c r="E377" t="b">
        <v>0</v>
      </c>
      <c r="F377" s="1">
        <v>32780</v>
      </c>
      <c r="G377">
        <v>20</v>
      </c>
      <c r="H377">
        <v>162792</v>
      </c>
    </row>
    <row r="378" spans="1:8" x14ac:dyDescent="0.35">
      <c r="A378">
        <v>376</v>
      </c>
      <c r="B378">
        <v>1539</v>
      </c>
      <c r="C378">
        <v>42</v>
      </c>
      <c r="D378" t="s">
        <v>8</v>
      </c>
      <c r="E378" t="b">
        <v>1</v>
      </c>
      <c r="F378" s="1">
        <v>35990</v>
      </c>
      <c r="G378">
        <v>22</v>
      </c>
      <c r="H378">
        <v>169701</v>
      </c>
    </row>
    <row r="379" spans="1:8" x14ac:dyDescent="0.35">
      <c r="A379">
        <v>377</v>
      </c>
      <c r="B379">
        <v>2565</v>
      </c>
      <c r="C379">
        <v>26</v>
      </c>
      <c r="D379" t="s">
        <v>8</v>
      </c>
      <c r="E379" t="b">
        <v>0</v>
      </c>
      <c r="F379" s="1">
        <v>34864</v>
      </c>
      <c r="G379">
        <v>12</v>
      </c>
      <c r="H379">
        <v>89021</v>
      </c>
    </row>
    <row r="380" spans="1:8" x14ac:dyDescent="0.35">
      <c r="A380">
        <v>378</v>
      </c>
      <c r="B380">
        <v>7334</v>
      </c>
      <c r="C380">
        <v>63</v>
      </c>
      <c r="D380" t="s">
        <v>12</v>
      </c>
      <c r="E380" t="b">
        <v>1</v>
      </c>
      <c r="F380" s="1">
        <v>27914</v>
      </c>
      <c r="G380">
        <v>31</v>
      </c>
      <c r="H380">
        <v>253048</v>
      </c>
    </row>
    <row r="381" spans="1:8" x14ac:dyDescent="0.35">
      <c r="A381">
        <v>379</v>
      </c>
      <c r="B381">
        <v>2974</v>
      </c>
      <c r="C381">
        <v>22</v>
      </c>
      <c r="D381" t="s">
        <v>9</v>
      </c>
      <c r="E381" t="b">
        <v>0</v>
      </c>
      <c r="F381" s="1">
        <v>44011</v>
      </c>
      <c r="G381">
        <v>7</v>
      </c>
      <c r="H381">
        <v>43177</v>
      </c>
    </row>
    <row r="382" spans="1:8" x14ac:dyDescent="0.35">
      <c r="A382">
        <v>380</v>
      </c>
      <c r="B382">
        <v>2346</v>
      </c>
      <c r="C382">
        <v>36</v>
      </c>
      <c r="D382" t="s">
        <v>12</v>
      </c>
      <c r="E382" t="b">
        <v>0</v>
      </c>
      <c r="F382" s="1">
        <v>45666</v>
      </c>
      <c r="G382">
        <v>13</v>
      </c>
      <c r="H382">
        <v>103682</v>
      </c>
    </row>
    <row r="383" spans="1:8" x14ac:dyDescent="0.35">
      <c r="A383">
        <v>381</v>
      </c>
      <c r="B383">
        <v>2800</v>
      </c>
      <c r="C383">
        <v>30</v>
      </c>
      <c r="D383" t="s">
        <v>12</v>
      </c>
      <c r="E383" t="b">
        <v>0</v>
      </c>
      <c r="F383" s="1">
        <v>37749</v>
      </c>
      <c r="G383">
        <v>16</v>
      </c>
      <c r="H383">
        <v>129947</v>
      </c>
    </row>
    <row r="384" spans="1:8" x14ac:dyDescent="0.35">
      <c r="A384">
        <v>382</v>
      </c>
      <c r="B384">
        <v>4437</v>
      </c>
      <c r="C384">
        <v>62</v>
      </c>
      <c r="D384" t="s">
        <v>8</v>
      </c>
      <c r="E384" t="b">
        <v>1</v>
      </c>
      <c r="F384" s="1">
        <v>36931</v>
      </c>
      <c r="G384">
        <v>29</v>
      </c>
      <c r="H384">
        <v>227252</v>
      </c>
    </row>
    <row r="385" spans="1:8" x14ac:dyDescent="0.35">
      <c r="A385">
        <v>383</v>
      </c>
      <c r="B385">
        <v>6007</v>
      </c>
      <c r="C385">
        <v>32</v>
      </c>
      <c r="D385" t="s">
        <v>9</v>
      </c>
      <c r="E385" t="b">
        <v>0</v>
      </c>
      <c r="F385" s="1">
        <v>33037</v>
      </c>
      <c r="G385">
        <v>15</v>
      </c>
      <c r="H385">
        <v>127305</v>
      </c>
    </row>
    <row r="386" spans="1:8" x14ac:dyDescent="0.35">
      <c r="A386">
        <v>384</v>
      </c>
      <c r="B386">
        <v>2510</v>
      </c>
      <c r="C386">
        <v>51</v>
      </c>
      <c r="D386" t="s">
        <v>11</v>
      </c>
      <c r="E386" t="b">
        <v>1</v>
      </c>
      <c r="F386" s="1">
        <v>41261</v>
      </c>
      <c r="G386">
        <v>24</v>
      </c>
      <c r="H386">
        <v>184578</v>
      </c>
    </row>
    <row r="387" spans="1:8" x14ac:dyDescent="0.35">
      <c r="A387">
        <v>385</v>
      </c>
      <c r="B387">
        <v>7197</v>
      </c>
      <c r="C387">
        <v>45</v>
      </c>
      <c r="D387" t="s">
        <v>12</v>
      </c>
      <c r="E387" t="b">
        <v>0</v>
      </c>
      <c r="F387" s="1">
        <v>28672</v>
      </c>
      <c r="G387">
        <v>23</v>
      </c>
      <c r="H387">
        <v>189031</v>
      </c>
    </row>
    <row r="388" spans="1:8" x14ac:dyDescent="0.35">
      <c r="A388">
        <v>386</v>
      </c>
      <c r="B388">
        <v>5262</v>
      </c>
      <c r="C388">
        <v>61</v>
      </c>
      <c r="D388" t="s">
        <v>10</v>
      </c>
      <c r="E388" t="b">
        <v>0</v>
      </c>
      <c r="F388" s="1">
        <v>43973</v>
      </c>
      <c r="G388">
        <v>30</v>
      </c>
      <c r="H388">
        <v>242312</v>
      </c>
    </row>
    <row r="389" spans="1:8" x14ac:dyDescent="0.35">
      <c r="A389">
        <v>387</v>
      </c>
      <c r="B389">
        <v>4315</v>
      </c>
      <c r="C389">
        <v>47</v>
      </c>
      <c r="D389" t="s">
        <v>9</v>
      </c>
      <c r="E389" t="b">
        <v>0</v>
      </c>
      <c r="F389" s="1">
        <v>36673</v>
      </c>
      <c r="G389">
        <v>24</v>
      </c>
      <c r="H389">
        <v>199412</v>
      </c>
    </row>
    <row r="390" spans="1:8" x14ac:dyDescent="0.35">
      <c r="A390">
        <v>388</v>
      </c>
      <c r="B390">
        <v>8268</v>
      </c>
      <c r="C390">
        <v>42</v>
      </c>
      <c r="D390" t="s">
        <v>10</v>
      </c>
      <c r="E390" t="b">
        <v>0</v>
      </c>
      <c r="F390" s="1">
        <v>33564</v>
      </c>
      <c r="G390">
        <v>22</v>
      </c>
      <c r="H390">
        <v>181466</v>
      </c>
    </row>
    <row r="391" spans="1:8" x14ac:dyDescent="0.35">
      <c r="A391">
        <v>389</v>
      </c>
      <c r="B391">
        <v>6197</v>
      </c>
      <c r="C391">
        <v>61</v>
      </c>
      <c r="D391" t="s">
        <v>11</v>
      </c>
      <c r="E391" t="b">
        <v>0</v>
      </c>
      <c r="F391" s="1">
        <v>29301</v>
      </c>
      <c r="G391">
        <v>32</v>
      </c>
      <c r="H391">
        <v>249787</v>
      </c>
    </row>
    <row r="392" spans="1:8" x14ac:dyDescent="0.35">
      <c r="A392">
        <v>390</v>
      </c>
      <c r="B392">
        <v>6190</v>
      </c>
      <c r="C392">
        <v>23</v>
      </c>
      <c r="D392" t="s">
        <v>12</v>
      </c>
      <c r="E392" t="b">
        <v>1</v>
      </c>
      <c r="F392" s="1">
        <v>42506</v>
      </c>
      <c r="G392">
        <v>10</v>
      </c>
      <c r="H392">
        <v>75579</v>
      </c>
    </row>
    <row r="393" spans="1:8" x14ac:dyDescent="0.35">
      <c r="A393">
        <v>391</v>
      </c>
      <c r="B393">
        <v>8585</v>
      </c>
      <c r="C393">
        <v>33</v>
      </c>
      <c r="D393" t="s">
        <v>9</v>
      </c>
      <c r="E393" t="b">
        <v>0</v>
      </c>
      <c r="F393" s="1">
        <v>42298</v>
      </c>
      <c r="G393">
        <v>14</v>
      </c>
      <c r="H393">
        <v>110956</v>
      </c>
    </row>
    <row r="394" spans="1:8" x14ac:dyDescent="0.35">
      <c r="A394">
        <v>392</v>
      </c>
      <c r="B394">
        <v>4689</v>
      </c>
      <c r="C394">
        <v>52</v>
      </c>
      <c r="D394" t="s">
        <v>10</v>
      </c>
      <c r="E394" t="b">
        <v>0</v>
      </c>
      <c r="F394" s="1">
        <v>41755</v>
      </c>
      <c r="G394">
        <v>25</v>
      </c>
      <c r="H394">
        <v>205417</v>
      </c>
    </row>
    <row r="395" spans="1:8" x14ac:dyDescent="0.35">
      <c r="A395">
        <v>393</v>
      </c>
      <c r="B395">
        <v>9048</v>
      </c>
      <c r="C395">
        <v>44</v>
      </c>
      <c r="D395" t="s">
        <v>8</v>
      </c>
      <c r="E395" t="b">
        <v>0</v>
      </c>
      <c r="F395" s="1">
        <v>28352</v>
      </c>
      <c r="G395">
        <v>25</v>
      </c>
      <c r="H395">
        <v>196804</v>
      </c>
    </row>
    <row r="396" spans="1:8" x14ac:dyDescent="0.35">
      <c r="A396">
        <v>394</v>
      </c>
      <c r="B396">
        <v>7445</v>
      </c>
      <c r="C396">
        <v>46</v>
      </c>
      <c r="D396" t="s">
        <v>12</v>
      </c>
      <c r="E396" t="b">
        <v>0</v>
      </c>
      <c r="F396" s="1">
        <v>30445</v>
      </c>
      <c r="G396">
        <v>21</v>
      </c>
      <c r="H396">
        <v>171101</v>
      </c>
    </row>
    <row r="397" spans="1:8" x14ac:dyDescent="0.35">
      <c r="A397">
        <v>395</v>
      </c>
      <c r="B397">
        <v>2129</v>
      </c>
      <c r="C397">
        <v>27</v>
      </c>
      <c r="D397" t="s">
        <v>12</v>
      </c>
      <c r="E397" t="b">
        <v>0</v>
      </c>
      <c r="F397" s="1">
        <v>32230</v>
      </c>
      <c r="G397">
        <v>12</v>
      </c>
      <c r="H397">
        <v>103203</v>
      </c>
    </row>
    <row r="398" spans="1:8" x14ac:dyDescent="0.35">
      <c r="A398">
        <v>396</v>
      </c>
      <c r="B398">
        <v>2973</v>
      </c>
      <c r="C398">
        <v>26</v>
      </c>
      <c r="D398" t="s">
        <v>8</v>
      </c>
      <c r="E398" t="b">
        <v>1</v>
      </c>
      <c r="F398" s="1">
        <v>26992</v>
      </c>
      <c r="G398">
        <v>15</v>
      </c>
      <c r="H398">
        <v>120056</v>
      </c>
    </row>
    <row r="399" spans="1:8" x14ac:dyDescent="0.35">
      <c r="A399">
        <v>397</v>
      </c>
      <c r="B399">
        <v>5722</v>
      </c>
      <c r="C399">
        <v>30</v>
      </c>
      <c r="D399" t="s">
        <v>9</v>
      </c>
      <c r="E399" t="b">
        <v>1</v>
      </c>
      <c r="F399" s="1">
        <v>43206</v>
      </c>
      <c r="G399">
        <v>16</v>
      </c>
      <c r="H399">
        <v>136030</v>
      </c>
    </row>
    <row r="400" spans="1:8" x14ac:dyDescent="0.35">
      <c r="A400">
        <v>398</v>
      </c>
      <c r="B400">
        <v>4334</v>
      </c>
      <c r="C400">
        <v>58</v>
      </c>
      <c r="D400" t="s">
        <v>12</v>
      </c>
      <c r="E400" t="b">
        <v>0</v>
      </c>
      <c r="F400" s="1">
        <v>42970</v>
      </c>
      <c r="G400">
        <v>28</v>
      </c>
      <c r="H400">
        <v>225695</v>
      </c>
    </row>
    <row r="401" spans="1:8" x14ac:dyDescent="0.35">
      <c r="A401">
        <v>399</v>
      </c>
      <c r="B401">
        <v>3900</v>
      </c>
      <c r="C401">
        <v>44</v>
      </c>
      <c r="D401" t="s">
        <v>12</v>
      </c>
      <c r="E401" t="b">
        <v>1</v>
      </c>
      <c r="F401" s="1">
        <v>31801</v>
      </c>
      <c r="G401">
        <v>18</v>
      </c>
      <c r="H401">
        <v>140411</v>
      </c>
    </row>
    <row r="402" spans="1:8" x14ac:dyDescent="0.35">
      <c r="A402">
        <v>400</v>
      </c>
      <c r="B402">
        <v>9317</v>
      </c>
      <c r="C402">
        <v>45</v>
      </c>
      <c r="D402" t="s">
        <v>8</v>
      </c>
      <c r="E402" t="b">
        <v>1</v>
      </c>
      <c r="F402" s="1">
        <v>43081</v>
      </c>
      <c r="G402">
        <v>21</v>
      </c>
      <c r="H402">
        <v>169472</v>
      </c>
    </row>
    <row r="403" spans="1:8" x14ac:dyDescent="0.35">
      <c r="A403">
        <v>401</v>
      </c>
      <c r="B403">
        <v>7802</v>
      </c>
      <c r="C403">
        <v>23</v>
      </c>
      <c r="D403" t="s">
        <v>8</v>
      </c>
      <c r="E403" t="b">
        <v>0</v>
      </c>
      <c r="F403" s="1">
        <v>37831</v>
      </c>
      <c r="G403">
        <v>12</v>
      </c>
      <c r="H403">
        <v>94602</v>
      </c>
    </row>
    <row r="404" spans="1:8" x14ac:dyDescent="0.35">
      <c r="A404">
        <v>402</v>
      </c>
      <c r="B404">
        <v>3189</v>
      </c>
      <c r="C404">
        <v>43</v>
      </c>
      <c r="D404" t="s">
        <v>8</v>
      </c>
      <c r="E404" t="b">
        <v>1</v>
      </c>
      <c r="F404" s="1">
        <v>31012</v>
      </c>
      <c r="G404">
        <v>22</v>
      </c>
      <c r="H404">
        <v>176423</v>
      </c>
    </row>
    <row r="405" spans="1:8" x14ac:dyDescent="0.35">
      <c r="A405">
        <v>403</v>
      </c>
      <c r="B405">
        <v>2803</v>
      </c>
      <c r="C405">
        <v>41</v>
      </c>
      <c r="D405" t="s">
        <v>8</v>
      </c>
      <c r="E405" t="b">
        <v>1</v>
      </c>
      <c r="F405" s="1">
        <v>28112</v>
      </c>
      <c r="G405">
        <v>20</v>
      </c>
      <c r="H405">
        <v>173046</v>
      </c>
    </row>
    <row r="406" spans="1:8" x14ac:dyDescent="0.35">
      <c r="A406">
        <v>404</v>
      </c>
      <c r="B406">
        <v>9086</v>
      </c>
      <c r="C406">
        <v>26</v>
      </c>
      <c r="D406" t="s">
        <v>10</v>
      </c>
      <c r="E406" t="b">
        <v>0</v>
      </c>
      <c r="F406" s="1">
        <v>27954</v>
      </c>
      <c r="G406">
        <v>12</v>
      </c>
      <c r="H406">
        <v>82230</v>
      </c>
    </row>
    <row r="407" spans="1:8" x14ac:dyDescent="0.35">
      <c r="A407">
        <v>405</v>
      </c>
      <c r="B407">
        <v>9975</v>
      </c>
      <c r="C407">
        <v>22</v>
      </c>
      <c r="D407" t="s">
        <v>12</v>
      </c>
      <c r="E407" t="b">
        <v>1</v>
      </c>
      <c r="F407" s="1">
        <v>38123</v>
      </c>
      <c r="G407">
        <v>9</v>
      </c>
      <c r="H407">
        <v>65079</v>
      </c>
    </row>
    <row r="408" spans="1:8" x14ac:dyDescent="0.35">
      <c r="A408">
        <v>406</v>
      </c>
      <c r="B408">
        <v>8328</v>
      </c>
      <c r="C408">
        <v>51</v>
      </c>
      <c r="D408" t="s">
        <v>9</v>
      </c>
      <c r="E408" t="b">
        <v>1</v>
      </c>
      <c r="F408" s="1">
        <v>31712</v>
      </c>
      <c r="G408">
        <v>24</v>
      </c>
      <c r="H408">
        <v>194961</v>
      </c>
    </row>
    <row r="409" spans="1:8" x14ac:dyDescent="0.35">
      <c r="A409">
        <v>407</v>
      </c>
      <c r="B409">
        <v>1695</v>
      </c>
      <c r="C409">
        <v>55</v>
      </c>
      <c r="D409" t="s">
        <v>12</v>
      </c>
      <c r="E409" t="b">
        <v>0</v>
      </c>
      <c r="F409" s="1">
        <v>37630</v>
      </c>
      <c r="G409">
        <v>24</v>
      </c>
      <c r="H409">
        <v>192619</v>
      </c>
    </row>
    <row r="410" spans="1:8" x14ac:dyDescent="0.35">
      <c r="A410">
        <v>408</v>
      </c>
      <c r="B410">
        <v>6633</v>
      </c>
      <c r="C410">
        <v>27</v>
      </c>
      <c r="D410" t="s">
        <v>11</v>
      </c>
      <c r="E410" t="b">
        <v>0</v>
      </c>
      <c r="F410" s="1">
        <v>37342</v>
      </c>
      <c r="G410">
        <v>16</v>
      </c>
      <c r="H410">
        <v>123888</v>
      </c>
    </row>
    <row r="411" spans="1:8" x14ac:dyDescent="0.35">
      <c r="A411">
        <v>409</v>
      </c>
      <c r="B411">
        <v>5922</v>
      </c>
      <c r="C411">
        <v>57</v>
      </c>
      <c r="D411" t="s">
        <v>9</v>
      </c>
      <c r="E411" t="b">
        <v>1</v>
      </c>
      <c r="F411" s="1">
        <v>43953</v>
      </c>
      <c r="G411">
        <v>29</v>
      </c>
      <c r="H411">
        <v>225741</v>
      </c>
    </row>
    <row r="412" spans="1:8" x14ac:dyDescent="0.35">
      <c r="A412">
        <v>410</v>
      </c>
      <c r="B412">
        <v>4364</v>
      </c>
      <c r="C412">
        <v>54</v>
      </c>
      <c r="D412" t="s">
        <v>8</v>
      </c>
      <c r="E412" t="b">
        <v>0</v>
      </c>
      <c r="F412" s="1">
        <v>39838</v>
      </c>
      <c r="G412">
        <v>28</v>
      </c>
      <c r="H412">
        <v>221040</v>
      </c>
    </row>
    <row r="413" spans="1:8" x14ac:dyDescent="0.35">
      <c r="A413">
        <v>411</v>
      </c>
      <c r="B413">
        <v>9938</v>
      </c>
      <c r="C413">
        <v>34</v>
      </c>
      <c r="D413" t="s">
        <v>11</v>
      </c>
      <c r="E413" t="b">
        <v>0</v>
      </c>
      <c r="F413" s="1">
        <v>43211</v>
      </c>
      <c r="G413">
        <v>16</v>
      </c>
      <c r="H413">
        <v>133650</v>
      </c>
    </row>
    <row r="414" spans="1:8" x14ac:dyDescent="0.35">
      <c r="A414">
        <v>412</v>
      </c>
      <c r="B414">
        <v>4303</v>
      </c>
      <c r="C414">
        <v>31</v>
      </c>
      <c r="D414" t="s">
        <v>10</v>
      </c>
      <c r="E414" t="b">
        <v>0</v>
      </c>
      <c r="F414" s="1">
        <v>29544</v>
      </c>
      <c r="G414">
        <v>11</v>
      </c>
      <c r="H414">
        <v>93339</v>
      </c>
    </row>
    <row r="415" spans="1:8" x14ac:dyDescent="0.35">
      <c r="A415">
        <v>413</v>
      </c>
      <c r="B415">
        <v>4845</v>
      </c>
      <c r="C415">
        <v>42</v>
      </c>
      <c r="D415" t="s">
        <v>8</v>
      </c>
      <c r="E415" t="b">
        <v>0</v>
      </c>
      <c r="F415" s="1">
        <v>34104</v>
      </c>
      <c r="G415">
        <v>20</v>
      </c>
      <c r="H415">
        <v>163242</v>
      </c>
    </row>
    <row r="416" spans="1:8" x14ac:dyDescent="0.35">
      <c r="A416">
        <v>414</v>
      </c>
      <c r="B416">
        <v>8086</v>
      </c>
      <c r="C416">
        <v>36</v>
      </c>
      <c r="D416" t="s">
        <v>12</v>
      </c>
      <c r="E416" t="b">
        <v>0</v>
      </c>
      <c r="F416" s="1">
        <v>27530</v>
      </c>
      <c r="G416">
        <v>16</v>
      </c>
      <c r="H416">
        <v>126451</v>
      </c>
    </row>
    <row r="417" spans="1:8" x14ac:dyDescent="0.35">
      <c r="A417">
        <v>415</v>
      </c>
      <c r="B417">
        <v>4245</v>
      </c>
      <c r="C417">
        <v>23</v>
      </c>
      <c r="D417" t="s">
        <v>11</v>
      </c>
      <c r="E417" t="b">
        <v>0</v>
      </c>
      <c r="F417" s="1">
        <v>40832</v>
      </c>
      <c r="G417">
        <v>11</v>
      </c>
      <c r="H417">
        <v>91619</v>
      </c>
    </row>
    <row r="418" spans="1:8" x14ac:dyDescent="0.35">
      <c r="A418">
        <v>416</v>
      </c>
      <c r="B418">
        <v>6736</v>
      </c>
      <c r="C418">
        <v>43</v>
      </c>
      <c r="D418" t="s">
        <v>10</v>
      </c>
      <c r="E418" t="b">
        <v>1</v>
      </c>
      <c r="F418" s="1">
        <v>29109</v>
      </c>
      <c r="G418">
        <v>20</v>
      </c>
      <c r="H418">
        <v>171600</v>
      </c>
    </row>
    <row r="419" spans="1:8" x14ac:dyDescent="0.35">
      <c r="A419">
        <v>417</v>
      </c>
      <c r="B419">
        <v>9276</v>
      </c>
      <c r="C419">
        <v>23</v>
      </c>
      <c r="D419" t="s">
        <v>12</v>
      </c>
      <c r="E419" t="b">
        <v>0</v>
      </c>
      <c r="F419" s="1">
        <v>30383</v>
      </c>
      <c r="G419">
        <v>10</v>
      </c>
      <c r="H419">
        <v>75749</v>
      </c>
    </row>
    <row r="420" spans="1:8" x14ac:dyDescent="0.35">
      <c r="A420">
        <v>418</v>
      </c>
      <c r="B420">
        <v>4411</v>
      </c>
      <c r="C420">
        <v>36</v>
      </c>
      <c r="D420" t="s">
        <v>10</v>
      </c>
      <c r="E420" t="b">
        <v>1</v>
      </c>
      <c r="F420" s="1">
        <v>44176</v>
      </c>
      <c r="G420">
        <v>19</v>
      </c>
      <c r="H420">
        <v>146689</v>
      </c>
    </row>
    <row r="421" spans="1:8" x14ac:dyDescent="0.35">
      <c r="A421">
        <v>419</v>
      </c>
      <c r="B421">
        <v>3693</v>
      </c>
      <c r="C421">
        <v>36</v>
      </c>
      <c r="D421" t="s">
        <v>12</v>
      </c>
      <c r="E421" t="b">
        <v>1</v>
      </c>
      <c r="F421" s="1">
        <v>37730</v>
      </c>
      <c r="G421">
        <v>17</v>
      </c>
      <c r="H421">
        <v>141159</v>
      </c>
    </row>
    <row r="422" spans="1:8" x14ac:dyDescent="0.35">
      <c r="A422">
        <v>420</v>
      </c>
      <c r="B422">
        <v>1513</v>
      </c>
      <c r="C422">
        <v>41</v>
      </c>
      <c r="D422" t="s">
        <v>8</v>
      </c>
      <c r="E422" t="b">
        <v>0</v>
      </c>
      <c r="F422" s="1">
        <v>36515</v>
      </c>
      <c r="G422">
        <v>18</v>
      </c>
      <c r="H422">
        <v>143584</v>
      </c>
    </row>
    <row r="423" spans="1:8" x14ac:dyDescent="0.35">
      <c r="A423">
        <v>421</v>
      </c>
      <c r="B423">
        <v>6094</v>
      </c>
      <c r="C423">
        <v>30</v>
      </c>
      <c r="D423" t="s">
        <v>10</v>
      </c>
      <c r="E423" t="b">
        <v>1</v>
      </c>
      <c r="F423" s="1">
        <v>40968</v>
      </c>
      <c r="G423">
        <v>12</v>
      </c>
      <c r="H423">
        <v>92136</v>
      </c>
    </row>
    <row r="424" spans="1:8" x14ac:dyDescent="0.35">
      <c r="A424">
        <v>422</v>
      </c>
      <c r="B424">
        <v>9908</v>
      </c>
      <c r="C424">
        <v>53</v>
      </c>
      <c r="D424" t="s">
        <v>12</v>
      </c>
      <c r="E424" t="b">
        <v>0</v>
      </c>
      <c r="F424" s="1">
        <v>44748</v>
      </c>
      <c r="G424">
        <v>26</v>
      </c>
      <c r="H424">
        <v>204041</v>
      </c>
    </row>
    <row r="425" spans="1:8" x14ac:dyDescent="0.35">
      <c r="A425">
        <v>423</v>
      </c>
      <c r="B425">
        <v>5991</v>
      </c>
      <c r="C425">
        <v>60</v>
      </c>
      <c r="D425" t="s">
        <v>11</v>
      </c>
      <c r="E425" t="b">
        <v>0</v>
      </c>
      <c r="F425" s="1">
        <v>34393</v>
      </c>
      <c r="G425">
        <v>29</v>
      </c>
      <c r="H425">
        <v>227146</v>
      </c>
    </row>
    <row r="426" spans="1:8" x14ac:dyDescent="0.35">
      <c r="A426">
        <v>424</v>
      </c>
      <c r="B426">
        <v>8398</v>
      </c>
      <c r="C426">
        <v>36</v>
      </c>
      <c r="D426" t="s">
        <v>8</v>
      </c>
      <c r="E426" t="b">
        <v>1</v>
      </c>
      <c r="F426" s="1">
        <v>30562</v>
      </c>
      <c r="G426">
        <v>14</v>
      </c>
      <c r="H426">
        <v>107232</v>
      </c>
    </row>
    <row r="427" spans="1:8" x14ac:dyDescent="0.35">
      <c r="A427">
        <v>425</v>
      </c>
      <c r="B427">
        <v>2660</v>
      </c>
      <c r="C427">
        <v>57</v>
      </c>
      <c r="D427" t="s">
        <v>9</v>
      </c>
      <c r="E427" t="b">
        <v>0</v>
      </c>
      <c r="F427" s="1">
        <v>42332</v>
      </c>
      <c r="G427">
        <v>28</v>
      </c>
      <c r="H427">
        <v>222824</v>
      </c>
    </row>
    <row r="428" spans="1:8" x14ac:dyDescent="0.35">
      <c r="A428">
        <v>426</v>
      </c>
      <c r="B428">
        <v>7255</v>
      </c>
      <c r="C428">
        <v>37</v>
      </c>
      <c r="D428" t="s">
        <v>8</v>
      </c>
      <c r="E428" t="b">
        <v>0</v>
      </c>
      <c r="F428" s="1">
        <v>40231</v>
      </c>
      <c r="G428">
        <v>21</v>
      </c>
      <c r="H428">
        <v>162790</v>
      </c>
    </row>
    <row r="429" spans="1:8" x14ac:dyDescent="0.35">
      <c r="A429">
        <v>427</v>
      </c>
      <c r="B429">
        <v>2687</v>
      </c>
      <c r="C429">
        <v>50</v>
      </c>
      <c r="D429" t="s">
        <v>12</v>
      </c>
      <c r="E429" t="b">
        <v>1</v>
      </c>
      <c r="F429" s="1">
        <v>38827</v>
      </c>
      <c r="G429">
        <v>18</v>
      </c>
      <c r="H429">
        <v>150069</v>
      </c>
    </row>
    <row r="430" spans="1:8" x14ac:dyDescent="0.35">
      <c r="A430">
        <v>428</v>
      </c>
      <c r="B430">
        <v>8717</v>
      </c>
      <c r="C430">
        <v>44</v>
      </c>
      <c r="D430" t="s">
        <v>8</v>
      </c>
      <c r="E430" t="b">
        <v>0</v>
      </c>
      <c r="F430" s="1">
        <v>36023</v>
      </c>
      <c r="G430">
        <v>22</v>
      </c>
      <c r="H430">
        <v>172707</v>
      </c>
    </row>
    <row r="431" spans="1:8" x14ac:dyDescent="0.35">
      <c r="A431">
        <v>429</v>
      </c>
      <c r="B431">
        <v>1471</v>
      </c>
      <c r="C431">
        <v>49</v>
      </c>
      <c r="D431" t="s">
        <v>12</v>
      </c>
      <c r="E431" t="b">
        <v>0</v>
      </c>
      <c r="F431" s="1">
        <v>44570</v>
      </c>
      <c r="G431">
        <v>25</v>
      </c>
      <c r="H431">
        <v>200491</v>
      </c>
    </row>
    <row r="432" spans="1:8" x14ac:dyDescent="0.35">
      <c r="A432">
        <v>430</v>
      </c>
      <c r="B432">
        <v>3188</v>
      </c>
      <c r="C432">
        <v>64</v>
      </c>
      <c r="D432" t="s">
        <v>8</v>
      </c>
      <c r="E432" t="b">
        <v>0</v>
      </c>
      <c r="F432" s="1">
        <v>31911</v>
      </c>
      <c r="G432">
        <v>31</v>
      </c>
      <c r="H432">
        <v>247653</v>
      </c>
    </row>
    <row r="433" spans="1:8" x14ac:dyDescent="0.35">
      <c r="A433">
        <v>431</v>
      </c>
      <c r="B433">
        <v>7435</v>
      </c>
      <c r="C433">
        <v>49</v>
      </c>
      <c r="D433" t="s">
        <v>8</v>
      </c>
      <c r="E433" t="b">
        <v>0</v>
      </c>
      <c r="F433" s="1">
        <v>44346</v>
      </c>
      <c r="G433">
        <v>24</v>
      </c>
      <c r="H433">
        <v>191755</v>
      </c>
    </row>
    <row r="434" spans="1:8" x14ac:dyDescent="0.35">
      <c r="A434">
        <v>432</v>
      </c>
      <c r="B434">
        <v>2002</v>
      </c>
      <c r="C434">
        <v>27</v>
      </c>
      <c r="D434" t="s">
        <v>9</v>
      </c>
      <c r="E434" t="b">
        <v>1</v>
      </c>
      <c r="F434" s="1">
        <v>28895</v>
      </c>
      <c r="G434">
        <v>15</v>
      </c>
      <c r="H434">
        <v>125131</v>
      </c>
    </row>
    <row r="435" spans="1:8" x14ac:dyDescent="0.35">
      <c r="A435">
        <v>433</v>
      </c>
      <c r="B435">
        <v>5880</v>
      </c>
      <c r="C435">
        <v>42</v>
      </c>
      <c r="D435" t="s">
        <v>9</v>
      </c>
      <c r="E435" t="b">
        <v>0</v>
      </c>
      <c r="F435" s="1">
        <v>28684</v>
      </c>
      <c r="G435">
        <v>21</v>
      </c>
      <c r="H435">
        <v>164265</v>
      </c>
    </row>
    <row r="436" spans="1:8" x14ac:dyDescent="0.35">
      <c r="A436">
        <v>434</v>
      </c>
      <c r="B436">
        <v>4796</v>
      </c>
      <c r="C436">
        <v>28</v>
      </c>
      <c r="D436" t="s">
        <v>9</v>
      </c>
      <c r="E436" t="b">
        <v>0</v>
      </c>
      <c r="F436" s="1">
        <v>43273</v>
      </c>
      <c r="G436">
        <v>15</v>
      </c>
      <c r="H436">
        <v>109701</v>
      </c>
    </row>
    <row r="437" spans="1:8" x14ac:dyDescent="0.35">
      <c r="A437">
        <v>435</v>
      </c>
      <c r="B437">
        <v>7768</v>
      </c>
      <c r="C437">
        <v>53</v>
      </c>
      <c r="D437" t="s">
        <v>9</v>
      </c>
      <c r="E437" t="b">
        <v>0</v>
      </c>
      <c r="F437" s="1">
        <v>36352</v>
      </c>
      <c r="G437">
        <v>29</v>
      </c>
      <c r="H437">
        <v>238477</v>
      </c>
    </row>
    <row r="438" spans="1:8" x14ac:dyDescent="0.35">
      <c r="A438">
        <v>436</v>
      </c>
      <c r="B438">
        <v>4407</v>
      </c>
      <c r="C438">
        <v>48</v>
      </c>
      <c r="D438" t="s">
        <v>11</v>
      </c>
      <c r="E438" t="b">
        <v>0</v>
      </c>
      <c r="F438" s="1">
        <v>26090</v>
      </c>
      <c r="G438">
        <v>24</v>
      </c>
      <c r="H438">
        <v>193938</v>
      </c>
    </row>
    <row r="439" spans="1:8" x14ac:dyDescent="0.35">
      <c r="A439">
        <v>437</v>
      </c>
      <c r="B439">
        <v>4747</v>
      </c>
      <c r="C439">
        <v>49</v>
      </c>
      <c r="D439" t="s">
        <v>10</v>
      </c>
      <c r="E439" t="b">
        <v>0</v>
      </c>
      <c r="F439" s="1">
        <v>31380</v>
      </c>
      <c r="G439">
        <v>20</v>
      </c>
      <c r="H439">
        <v>156976</v>
      </c>
    </row>
    <row r="440" spans="1:8" x14ac:dyDescent="0.35">
      <c r="A440">
        <v>438</v>
      </c>
      <c r="B440">
        <v>9893</v>
      </c>
      <c r="C440">
        <v>54</v>
      </c>
      <c r="D440" t="s">
        <v>9</v>
      </c>
      <c r="E440" t="b">
        <v>0</v>
      </c>
      <c r="F440" s="1">
        <v>26556</v>
      </c>
      <c r="G440">
        <v>29</v>
      </c>
      <c r="H440">
        <v>229200</v>
      </c>
    </row>
    <row r="441" spans="1:8" x14ac:dyDescent="0.35">
      <c r="A441">
        <v>439</v>
      </c>
      <c r="B441">
        <v>1779</v>
      </c>
      <c r="C441">
        <v>47</v>
      </c>
      <c r="D441" t="s">
        <v>9</v>
      </c>
      <c r="E441" t="b">
        <v>0</v>
      </c>
      <c r="F441" s="1">
        <v>34147</v>
      </c>
      <c r="G441">
        <v>24</v>
      </c>
      <c r="H441">
        <v>194985</v>
      </c>
    </row>
    <row r="442" spans="1:8" x14ac:dyDescent="0.35">
      <c r="A442">
        <v>440</v>
      </c>
      <c r="B442">
        <v>3531</v>
      </c>
      <c r="C442">
        <v>40</v>
      </c>
      <c r="D442" t="s">
        <v>11</v>
      </c>
      <c r="E442" t="b">
        <v>1</v>
      </c>
      <c r="F442" s="1">
        <v>26725</v>
      </c>
      <c r="G442">
        <v>19</v>
      </c>
      <c r="H442">
        <v>150665</v>
      </c>
    </row>
    <row r="443" spans="1:8" x14ac:dyDescent="0.35">
      <c r="A443">
        <v>441</v>
      </c>
      <c r="B443">
        <v>9943</v>
      </c>
      <c r="C443">
        <v>45</v>
      </c>
      <c r="D443" t="s">
        <v>10</v>
      </c>
      <c r="E443" t="b">
        <v>0</v>
      </c>
      <c r="F443" s="1">
        <v>30111</v>
      </c>
      <c r="G443">
        <v>22</v>
      </c>
      <c r="H443">
        <v>187991</v>
      </c>
    </row>
    <row r="444" spans="1:8" x14ac:dyDescent="0.35">
      <c r="A444">
        <v>442</v>
      </c>
      <c r="B444">
        <v>6308</v>
      </c>
      <c r="C444">
        <v>55</v>
      </c>
      <c r="D444" t="s">
        <v>10</v>
      </c>
      <c r="E444" t="b">
        <v>0</v>
      </c>
      <c r="F444" s="1">
        <v>41218</v>
      </c>
      <c r="G444">
        <v>26</v>
      </c>
      <c r="H444">
        <v>202446</v>
      </c>
    </row>
    <row r="445" spans="1:8" x14ac:dyDescent="0.35">
      <c r="A445">
        <v>443</v>
      </c>
      <c r="B445">
        <v>4784</v>
      </c>
      <c r="C445">
        <v>55</v>
      </c>
      <c r="D445" t="s">
        <v>8</v>
      </c>
      <c r="E445" t="b">
        <v>1</v>
      </c>
      <c r="F445" s="1">
        <v>43451</v>
      </c>
      <c r="G445">
        <v>25</v>
      </c>
      <c r="H445">
        <v>203933</v>
      </c>
    </row>
    <row r="446" spans="1:8" x14ac:dyDescent="0.35">
      <c r="A446">
        <v>444</v>
      </c>
      <c r="B446">
        <v>8665</v>
      </c>
      <c r="C446">
        <v>59</v>
      </c>
      <c r="D446" t="s">
        <v>9</v>
      </c>
      <c r="E446" t="b">
        <v>1</v>
      </c>
      <c r="F446" s="1">
        <v>36814</v>
      </c>
      <c r="G446">
        <v>29</v>
      </c>
      <c r="H446">
        <v>234277</v>
      </c>
    </row>
    <row r="447" spans="1:8" x14ac:dyDescent="0.35">
      <c r="A447">
        <v>445</v>
      </c>
      <c r="B447">
        <v>8492</v>
      </c>
      <c r="C447">
        <v>54</v>
      </c>
      <c r="D447" t="s">
        <v>11</v>
      </c>
      <c r="E447" t="b">
        <v>1</v>
      </c>
      <c r="F447" s="1">
        <v>26443</v>
      </c>
      <c r="G447">
        <v>28</v>
      </c>
      <c r="H447">
        <v>225715</v>
      </c>
    </row>
    <row r="448" spans="1:8" x14ac:dyDescent="0.35">
      <c r="A448">
        <v>446</v>
      </c>
      <c r="B448">
        <v>2639</v>
      </c>
      <c r="C448">
        <v>24</v>
      </c>
      <c r="D448" t="s">
        <v>11</v>
      </c>
      <c r="E448" t="b">
        <v>0</v>
      </c>
      <c r="F448" s="1">
        <v>35453</v>
      </c>
      <c r="G448">
        <v>10</v>
      </c>
      <c r="H448">
        <v>75812</v>
      </c>
    </row>
    <row r="449" spans="1:8" x14ac:dyDescent="0.35">
      <c r="A449">
        <v>447</v>
      </c>
      <c r="B449">
        <v>3328</v>
      </c>
      <c r="C449">
        <v>24</v>
      </c>
      <c r="D449" t="s">
        <v>9</v>
      </c>
      <c r="E449" t="b">
        <v>1</v>
      </c>
      <c r="F449" s="1">
        <v>32021</v>
      </c>
      <c r="G449">
        <v>8</v>
      </c>
      <c r="H449">
        <v>68134</v>
      </c>
    </row>
    <row r="450" spans="1:8" x14ac:dyDescent="0.35">
      <c r="A450">
        <v>448</v>
      </c>
      <c r="B450">
        <v>3255</v>
      </c>
      <c r="C450">
        <v>48</v>
      </c>
      <c r="D450" t="s">
        <v>8</v>
      </c>
      <c r="E450" t="b">
        <v>0</v>
      </c>
      <c r="F450" s="1">
        <v>35729</v>
      </c>
      <c r="G450">
        <v>20</v>
      </c>
      <c r="H450">
        <v>155985</v>
      </c>
    </row>
    <row r="451" spans="1:8" x14ac:dyDescent="0.35">
      <c r="A451">
        <v>449</v>
      </c>
      <c r="B451">
        <v>4651</v>
      </c>
      <c r="C451">
        <v>50</v>
      </c>
      <c r="D451" t="s">
        <v>8</v>
      </c>
      <c r="E451" t="b">
        <v>1</v>
      </c>
      <c r="F451" s="1">
        <v>37779</v>
      </c>
      <c r="G451">
        <v>27</v>
      </c>
      <c r="H451">
        <v>222685</v>
      </c>
    </row>
    <row r="452" spans="1:8" x14ac:dyDescent="0.35">
      <c r="A452">
        <v>450</v>
      </c>
      <c r="B452">
        <v>6391</v>
      </c>
      <c r="C452">
        <v>49</v>
      </c>
      <c r="D452" t="s">
        <v>9</v>
      </c>
      <c r="E452" t="b">
        <v>0</v>
      </c>
      <c r="F452" s="1">
        <v>38217</v>
      </c>
      <c r="G452">
        <v>28</v>
      </c>
      <c r="H452">
        <v>220500</v>
      </c>
    </row>
    <row r="453" spans="1:8" x14ac:dyDescent="0.35">
      <c r="A453">
        <v>451</v>
      </c>
      <c r="B453">
        <v>9655</v>
      </c>
      <c r="C453">
        <v>31</v>
      </c>
      <c r="D453" t="s">
        <v>8</v>
      </c>
      <c r="E453" t="b">
        <v>1</v>
      </c>
      <c r="F453" s="1">
        <v>39247</v>
      </c>
      <c r="G453">
        <v>15</v>
      </c>
      <c r="H453">
        <v>126388</v>
      </c>
    </row>
    <row r="454" spans="1:8" x14ac:dyDescent="0.35">
      <c r="A454">
        <v>452</v>
      </c>
      <c r="B454">
        <v>6856</v>
      </c>
      <c r="C454">
        <v>37</v>
      </c>
      <c r="D454" t="s">
        <v>9</v>
      </c>
      <c r="E454" t="b">
        <v>1</v>
      </c>
      <c r="F454" s="1">
        <v>39761</v>
      </c>
      <c r="G454">
        <v>21</v>
      </c>
      <c r="H454">
        <v>169212</v>
      </c>
    </row>
    <row r="455" spans="1:8" x14ac:dyDescent="0.35">
      <c r="A455">
        <v>453</v>
      </c>
      <c r="B455">
        <v>7141</v>
      </c>
      <c r="C455">
        <v>45</v>
      </c>
      <c r="D455" t="s">
        <v>11</v>
      </c>
      <c r="E455" t="b">
        <v>1</v>
      </c>
      <c r="F455" s="1">
        <v>38945</v>
      </c>
      <c r="G455">
        <v>24</v>
      </c>
      <c r="H455">
        <v>186015</v>
      </c>
    </row>
    <row r="456" spans="1:8" x14ac:dyDescent="0.35">
      <c r="A456">
        <v>454</v>
      </c>
      <c r="B456">
        <v>2259</v>
      </c>
      <c r="C456">
        <v>52</v>
      </c>
      <c r="D456" t="s">
        <v>8</v>
      </c>
      <c r="E456" t="b">
        <v>1</v>
      </c>
      <c r="F456" s="1">
        <v>44622</v>
      </c>
      <c r="G456">
        <v>27</v>
      </c>
      <c r="H456">
        <v>217544</v>
      </c>
    </row>
    <row r="457" spans="1:8" x14ac:dyDescent="0.35">
      <c r="A457">
        <v>455</v>
      </c>
      <c r="B457">
        <v>5518</v>
      </c>
      <c r="C457">
        <v>33</v>
      </c>
      <c r="D457" t="s">
        <v>10</v>
      </c>
      <c r="E457" t="b">
        <v>1</v>
      </c>
      <c r="F457" s="1">
        <v>44267</v>
      </c>
      <c r="G457">
        <v>17</v>
      </c>
      <c r="H457">
        <v>128767</v>
      </c>
    </row>
    <row r="458" spans="1:8" x14ac:dyDescent="0.35">
      <c r="A458">
        <v>456</v>
      </c>
      <c r="B458">
        <v>5641</v>
      </c>
      <c r="C458">
        <v>60</v>
      </c>
      <c r="D458" t="s">
        <v>10</v>
      </c>
      <c r="E458" t="b">
        <v>0</v>
      </c>
      <c r="F458" s="1">
        <v>40770</v>
      </c>
      <c r="G458">
        <v>27</v>
      </c>
      <c r="H458">
        <v>216812</v>
      </c>
    </row>
    <row r="459" spans="1:8" x14ac:dyDescent="0.35">
      <c r="A459">
        <v>457</v>
      </c>
      <c r="B459">
        <v>8734</v>
      </c>
      <c r="C459">
        <v>50</v>
      </c>
      <c r="D459" t="s">
        <v>11</v>
      </c>
      <c r="E459" t="b">
        <v>0</v>
      </c>
      <c r="F459" s="1">
        <v>45227</v>
      </c>
      <c r="G459">
        <v>21</v>
      </c>
      <c r="H459">
        <v>174984</v>
      </c>
    </row>
    <row r="460" spans="1:8" x14ac:dyDescent="0.35">
      <c r="A460">
        <v>458</v>
      </c>
      <c r="B460">
        <v>7473</v>
      </c>
      <c r="C460">
        <v>49</v>
      </c>
      <c r="D460" t="s">
        <v>9</v>
      </c>
      <c r="E460" t="b">
        <v>1</v>
      </c>
      <c r="F460" s="1">
        <v>26908</v>
      </c>
      <c r="G460">
        <v>24</v>
      </c>
      <c r="H460">
        <v>192274</v>
      </c>
    </row>
    <row r="461" spans="1:8" x14ac:dyDescent="0.35">
      <c r="A461">
        <v>459</v>
      </c>
      <c r="B461">
        <v>8293</v>
      </c>
      <c r="C461">
        <v>52</v>
      </c>
      <c r="D461" t="s">
        <v>12</v>
      </c>
      <c r="E461" t="b">
        <v>1</v>
      </c>
      <c r="F461" s="1">
        <v>44236</v>
      </c>
      <c r="G461">
        <v>28</v>
      </c>
      <c r="H461">
        <v>216683</v>
      </c>
    </row>
    <row r="462" spans="1:8" x14ac:dyDescent="0.35">
      <c r="A462">
        <v>460</v>
      </c>
      <c r="B462">
        <v>1014</v>
      </c>
      <c r="C462">
        <v>51</v>
      </c>
      <c r="D462" t="s">
        <v>11</v>
      </c>
      <c r="E462" t="b">
        <v>0</v>
      </c>
      <c r="F462" s="1">
        <v>30822</v>
      </c>
      <c r="G462">
        <v>22</v>
      </c>
      <c r="H462">
        <v>184887</v>
      </c>
    </row>
    <row r="463" spans="1:8" x14ac:dyDescent="0.35">
      <c r="A463">
        <v>461</v>
      </c>
      <c r="B463">
        <v>4824</v>
      </c>
      <c r="C463">
        <v>42</v>
      </c>
      <c r="D463" t="s">
        <v>9</v>
      </c>
      <c r="E463" t="b">
        <v>1</v>
      </c>
      <c r="F463" s="1">
        <v>35023</v>
      </c>
      <c r="G463">
        <v>21</v>
      </c>
      <c r="H463">
        <v>160580</v>
      </c>
    </row>
    <row r="464" spans="1:8" x14ac:dyDescent="0.35">
      <c r="A464">
        <v>462</v>
      </c>
      <c r="B464">
        <v>8260</v>
      </c>
      <c r="C464">
        <v>55</v>
      </c>
      <c r="D464" t="s">
        <v>10</v>
      </c>
      <c r="E464" t="b">
        <v>0</v>
      </c>
      <c r="F464" s="1">
        <v>36030</v>
      </c>
      <c r="G464">
        <v>30</v>
      </c>
      <c r="H464">
        <v>245031</v>
      </c>
    </row>
    <row r="465" spans="1:8" x14ac:dyDescent="0.35">
      <c r="A465">
        <v>463</v>
      </c>
      <c r="B465">
        <v>8101</v>
      </c>
      <c r="C465">
        <v>52</v>
      </c>
      <c r="D465" t="s">
        <v>11</v>
      </c>
      <c r="E465" t="b">
        <v>1</v>
      </c>
      <c r="F465" s="1">
        <v>32226</v>
      </c>
      <c r="G465">
        <v>19</v>
      </c>
      <c r="H465">
        <v>148735</v>
      </c>
    </row>
    <row r="466" spans="1:8" x14ac:dyDescent="0.35">
      <c r="A466">
        <v>464</v>
      </c>
      <c r="B466">
        <v>1488</v>
      </c>
      <c r="C466">
        <v>44</v>
      </c>
      <c r="D466" t="s">
        <v>11</v>
      </c>
      <c r="E466" t="b">
        <v>1</v>
      </c>
      <c r="F466" s="1">
        <v>30126</v>
      </c>
      <c r="G466">
        <v>19</v>
      </c>
      <c r="H466">
        <v>150934</v>
      </c>
    </row>
    <row r="467" spans="1:8" x14ac:dyDescent="0.35">
      <c r="A467">
        <v>465</v>
      </c>
      <c r="B467">
        <v>9373</v>
      </c>
      <c r="C467">
        <v>52</v>
      </c>
      <c r="D467" t="s">
        <v>10</v>
      </c>
      <c r="E467" t="b">
        <v>1</v>
      </c>
      <c r="F467" s="1">
        <v>36780</v>
      </c>
      <c r="G467">
        <v>31</v>
      </c>
      <c r="H467">
        <v>249071</v>
      </c>
    </row>
    <row r="468" spans="1:8" x14ac:dyDescent="0.35">
      <c r="A468">
        <v>466</v>
      </c>
      <c r="B468">
        <v>2643</v>
      </c>
      <c r="C468">
        <v>53</v>
      </c>
      <c r="D468" t="s">
        <v>11</v>
      </c>
      <c r="E468" t="b">
        <v>0</v>
      </c>
      <c r="F468" s="1">
        <v>33270</v>
      </c>
      <c r="G468">
        <v>29</v>
      </c>
      <c r="H468">
        <v>235550</v>
      </c>
    </row>
    <row r="469" spans="1:8" x14ac:dyDescent="0.35">
      <c r="A469">
        <v>467</v>
      </c>
      <c r="B469">
        <v>1498</v>
      </c>
      <c r="C469">
        <v>36</v>
      </c>
      <c r="D469" t="s">
        <v>9</v>
      </c>
      <c r="E469" t="b">
        <v>0</v>
      </c>
      <c r="F469" s="1">
        <v>31936</v>
      </c>
      <c r="G469">
        <v>19</v>
      </c>
      <c r="H469">
        <v>151124</v>
      </c>
    </row>
    <row r="470" spans="1:8" x14ac:dyDescent="0.35">
      <c r="A470">
        <v>468</v>
      </c>
      <c r="B470">
        <v>1515</v>
      </c>
      <c r="C470">
        <v>39</v>
      </c>
      <c r="D470" t="s">
        <v>9</v>
      </c>
      <c r="E470" t="b">
        <v>0</v>
      </c>
      <c r="F470" s="1">
        <v>39364</v>
      </c>
      <c r="G470">
        <v>17</v>
      </c>
      <c r="H470">
        <v>140001</v>
      </c>
    </row>
    <row r="471" spans="1:8" x14ac:dyDescent="0.35">
      <c r="A471">
        <v>469</v>
      </c>
      <c r="B471">
        <v>1919</v>
      </c>
      <c r="C471">
        <v>23</v>
      </c>
      <c r="D471" t="s">
        <v>11</v>
      </c>
      <c r="E471" t="b">
        <v>1</v>
      </c>
      <c r="F471" s="1">
        <v>31298</v>
      </c>
      <c r="G471">
        <v>10</v>
      </c>
      <c r="H471">
        <v>78834</v>
      </c>
    </row>
    <row r="472" spans="1:8" x14ac:dyDescent="0.35">
      <c r="A472">
        <v>470</v>
      </c>
      <c r="B472">
        <v>4464</v>
      </c>
      <c r="C472">
        <v>27</v>
      </c>
      <c r="D472" t="s">
        <v>12</v>
      </c>
      <c r="E472" t="b">
        <v>1</v>
      </c>
      <c r="F472" s="1">
        <v>26061</v>
      </c>
      <c r="G472">
        <v>10</v>
      </c>
      <c r="H472">
        <v>82592</v>
      </c>
    </row>
    <row r="473" spans="1:8" x14ac:dyDescent="0.35">
      <c r="A473">
        <v>471</v>
      </c>
      <c r="B473">
        <v>6062</v>
      </c>
      <c r="C473">
        <v>27</v>
      </c>
      <c r="D473" t="s">
        <v>11</v>
      </c>
      <c r="E473" t="b">
        <v>0</v>
      </c>
      <c r="F473" s="1">
        <v>28054</v>
      </c>
      <c r="G473">
        <v>14</v>
      </c>
      <c r="H473">
        <v>115688</v>
      </c>
    </row>
    <row r="474" spans="1:8" x14ac:dyDescent="0.35">
      <c r="A474">
        <v>472</v>
      </c>
      <c r="B474">
        <v>8609</v>
      </c>
      <c r="C474">
        <v>60</v>
      </c>
      <c r="D474" t="s">
        <v>9</v>
      </c>
      <c r="E474" t="b">
        <v>0</v>
      </c>
      <c r="F474" s="1">
        <v>37524</v>
      </c>
      <c r="G474">
        <v>33</v>
      </c>
      <c r="H474">
        <v>263818</v>
      </c>
    </row>
    <row r="475" spans="1:8" x14ac:dyDescent="0.35">
      <c r="A475">
        <v>473</v>
      </c>
      <c r="B475">
        <v>3523</v>
      </c>
      <c r="C475">
        <v>45</v>
      </c>
      <c r="D475" t="s">
        <v>11</v>
      </c>
      <c r="E475" t="b">
        <v>0</v>
      </c>
      <c r="F475" s="1">
        <v>28649</v>
      </c>
      <c r="G475">
        <v>23</v>
      </c>
      <c r="H475">
        <v>178139</v>
      </c>
    </row>
    <row r="476" spans="1:8" x14ac:dyDescent="0.35">
      <c r="A476">
        <v>474</v>
      </c>
      <c r="B476">
        <v>7576</v>
      </c>
      <c r="C476">
        <v>48</v>
      </c>
      <c r="D476" t="s">
        <v>9</v>
      </c>
      <c r="E476" t="b">
        <v>1</v>
      </c>
      <c r="F476" s="1">
        <v>38946</v>
      </c>
      <c r="G476">
        <v>24</v>
      </c>
      <c r="H476">
        <v>194575</v>
      </c>
    </row>
    <row r="477" spans="1:8" x14ac:dyDescent="0.35">
      <c r="A477">
        <v>475</v>
      </c>
      <c r="B477">
        <v>9175</v>
      </c>
      <c r="C477">
        <v>44</v>
      </c>
      <c r="D477" t="s">
        <v>9</v>
      </c>
      <c r="E477" t="b">
        <v>1</v>
      </c>
      <c r="F477" s="1">
        <v>27142</v>
      </c>
      <c r="G477">
        <v>27</v>
      </c>
      <c r="H477">
        <v>213467</v>
      </c>
    </row>
    <row r="478" spans="1:8" x14ac:dyDescent="0.35">
      <c r="A478">
        <v>476</v>
      </c>
      <c r="B478">
        <v>4299</v>
      </c>
      <c r="C478">
        <v>43</v>
      </c>
      <c r="D478" t="s">
        <v>9</v>
      </c>
      <c r="E478" t="b">
        <v>1</v>
      </c>
      <c r="F478" s="1">
        <v>45803</v>
      </c>
      <c r="G478">
        <v>19</v>
      </c>
      <c r="H478">
        <v>155006</v>
      </c>
    </row>
    <row r="479" spans="1:8" x14ac:dyDescent="0.35">
      <c r="A479">
        <v>477</v>
      </c>
      <c r="B479">
        <v>1747</v>
      </c>
      <c r="C479">
        <v>51</v>
      </c>
      <c r="D479" t="s">
        <v>10</v>
      </c>
      <c r="E479" t="b">
        <v>1</v>
      </c>
      <c r="F479" s="1">
        <v>31744</v>
      </c>
      <c r="G479">
        <v>24</v>
      </c>
      <c r="H479">
        <v>192646</v>
      </c>
    </row>
    <row r="480" spans="1:8" x14ac:dyDescent="0.35">
      <c r="A480">
        <v>478</v>
      </c>
      <c r="B480">
        <v>5284</v>
      </c>
      <c r="C480">
        <v>62</v>
      </c>
      <c r="D480" t="s">
        <v>12</v>
      </c>
      <c r="E480" t="b">
        <v>0</v>
      </c>
      <c r="F480" s="1">
        <v>27269</v>
      </c>
      <c r="G480">
        <v>29</v>
      </c>
      <c r="H480">
        <v>232123</v>
      </c>
    </row>
    <row r="481" spans="1:8" x14ac:dyDescent="0.35">
      <c r="A481">
        <v>479</v>
      </c>
      <c r="B481">
        <v>3907</v>
      </c>
      <c r="C481">
        <v>56</v>
      </c>
      <c r="D481" t="s">
        <v>9</v>
      </c>
      <c r="E481" t="b">
        <v>1</v>
      </c>
      <c r="F481" s="1">
        <v>40741</v>
      </c>
      <c r="G481">
        <v>29</v>
      </c>
      <c r="H481">
        <v>229395</v>
      </c>
    </row>
    <row r="482" spans="1:8" x14ac:dyDescent="0.35">
      <c r="A482">
        <v>480</v>
      </c>
      <c r="B482">
        <v>3543</v>
      </c>
      <c r="C482">
        <v>45</v>
      </c>
      <c r="D482" t="s">
        <v>10</v>
      </c>
      <c r="E482" t="b">
        <v>0</v>
      </c>
      <c r="F482" s="1">
        <v>40877</v>
      </c>
      <c r="G482">
        <v>25</v>
      </c>
      <c r="H482">
        <v>202850</v>
      </c>
    </row>
    <row r="483" spans="1:8" x14ac:dyDescent="0.35">
      <c r="A483">
        <v>481</v>
      </c>
      <c r="B483">
        <v>5168</v>
      </c>
      <c r="C483">
        <v>23</v>
      </c>
      <c r="D483" t="s">
        <v>12</v>
      </c>
      <c r="E483" t="b">
        <v>1</v>
      </c>
      <c r="F483" s="1">
        <v>26750</v>
      </c>
      <c r="G483">
        <v>10</v>
      </c>
      <c r="H483">
        <v>85536</v>
      </c>
    </row>
    <row r="484" spans="1:8" x14ac:dyDescent="0.35">
      <c r="A484">
        <v>482</v>
      </c>
      <c r="B484">
        <v>2060</v>
      </c>
      <c r="C484">
        <v>42</v>
      </c>
      <c r="D484" t="s">
        <v>11</v>
      </c>
      <c r="E484" t="b">
        <v>1</v>
      </c>
      <c r="F484" s="1">
        <v>34634</v>
      </c>
      <c r="G484">
        <v>21</v>
      </c>
      <c r="H484">
        <v>172003</v>
      </c>
    </row>
    <row r="485" spans="1:8" x14ac:dyDescent="0.35">
      <c r="A485">
        <v>483</v>
      </c>
      <c r="B485">
        <v>5476</v>
      </c>
      <c r="C485">
        <v>56</v>
      </c>
      <c r="D485" t="s">
        <v>8</v>
      </c>
      <c r="E485" t="b">
        <v>0</v>
      </c>
      <c r="F485" s="1">
        <v>40881</v>
      </c>
      <c r="G485">
        <v>29</v>
      </c>
      <c r="H485">
        <v>235111</v>
      </c>
    </row>
    <row r="486" spans="1:8" x14ac:dyDescent="0.35">
      <c r="A486">
        <v>484</v>
      </c>
      <c r="B486">
        <v>5336</v>
      </c>
      <c r="C486">
        <v>60</v>
      </c>
      <c r="D486" t="s">
        <v>9</v>
      </c>
      <c r="E486" t="b">
        <v>1</v>
      </c>
      <c r="F486" s="1">
        <v>26158</v>
      </c>
      <c r="G486">
        <v>32</v>
      </c>
      <c r="H486">
        <v>248177</v>
      </c>
    </row>
    <row r="487" spans="1:8" x14ac:dyDescent="0.35">
      <c r="A487">
        <v>485</v>
      </c>
      <c r="B487">
        <v>7226</v>
      </c>
      <c r="C487">
        <v>38</v>
      </c>
      <c r="D487" t="s">
        <v>11</v>
      </c>
      <c r="E487" t="b">
        <v>1</v>
      </c>
      <c r="F487" s="1">
        <v>43419</v>
      </c>
      <c r="G487">
        <v>25</v>
      </c>
      <c r="H487">
        <v>199358</v>
      </c>
    </row>
    <row r="488" spans="1:8" x14ac:dyDescent="0.35">
      <c r="A488">
        <v>486</v>
      </c>
      <c r="B488">
        <v>7799</v>
      </c>
      <c r="C488">
        <v>42</v>
      </c>
      <c r="D488" t="s">
        <v>8</v>
      </c>
      <c r="E488" t="b">
        <v>0</v>
      </c>
      <c r="F488" s="1">
        <v>31987</v>
      </c>
      <c r="G488">
        <v>24</v>
      </c>
      <c r="H488">
        <v>189242</v>
      </c>
    </row>
    <row r="489" spans="1:8" x14ac:dyDescent="0.35">
      <c r="A489">
        <v>487</v>
      </c>
      <c r="B489">
        <v>1518</v>
      </c>
      <c r="C489">
        <v>35</v>
      </c>
      <c r="D489" t="s">
        <v>9</v>
      </c>
      <c r="E489" t="b">
        <v>1</v>
      </c>
      <c r="F489" s="1">
        <v>36995</v>
      </c>
      <c r="G489">
        <v>14</v>
      </c>
      <c r="H489">
        <v>115170</v>
      </c>
    </row>
    <row r="490" spans="1:8" x14ac:dyDescent="0.35">
      <c r="A490">
        <v>488</v>
      </c>
      <c r="B490">
        <v>5175</v>
      </c>
      <c r="C490">
        <v>64</v>
      </c>
      <c r="D490" t="s">
        <v>12</v>
      </c>
      <c r="E490" t="b">
        <v>0</v>
      </c>
      <c r="F490" s="1">
        <v>37165</v>
      </c>
      <c r="G490">
        <v>35</v>
      </c>
      <c r="H490">
        <v>285886</v>
      </c>
    </row>
    <row r="491" spans="1:8" x14ac:dyDescent="0.35">
      <c r="A491">
        <v>489</v>
      </c>
      <c r="B491">
        <v>8349</v>
      </c>
      <c r="C491">
        <v>48</v>
      </c>
      <c r="D491" t="s">
        <v>12</v>
      </c>
      <c r="E491" t="b">
        <v>1</v>
      </c>
      <c r="F491" s="1">
        <v>27176</v>
      </c>
      <c r="G491">
        <v>23</v>
      </c>
      <c r="H491">
        <v>177664</v>
      </c>
    </row>
    <row r="492" spans="1:8" x14ac:dyDescent="0.35">
      <c r="A492">
        <v>490</v>
      </c>
      <c r="B492">
        <v>2319</v>
      </c>
      <c r="C492">
        <v>29</v>
      </c>
      <c r="D492" t="s">
        <v>10</v>
      </c>
      <c r="E492" t="b">
        <v>0</v>
      </c>
      <c r="F492" s="1">
        <v>31692</v>
      </c>
      <c r="G492">
        <v>15</v>
      </c>
      <c r="H492">
        <v>113358</v>
      </c>
    </row>
    <row r="493" spans="1:8" x14ac:dyDescent="0.35">
      <c r="A493">
        <v>491</v>
      </c>
      <c r="B493">
        <v>5357</v>
      </c>
      <c r="C493">
        <v>27</v>
      </c>
      <c r="D493" t="s">
        <v>8</v>
      </c>
      <c r="E493" t="b">
        <v>1</v>
      </c>
      <c r="F493" s="1">
        <v>27720</v>
      </c>
      <c r="G493">
        <v>14</v>
      </c>
      <c r="H493">
        <v>115037</v>
      </c>
    </row>
    <row r="494" spans="1:8" x14ac:dyDescent="0.35">
      <c r="A494">
        <v>492</v>
      </c>
      <c r="B494">
        <v>6309</v>
      </c>
      <c r="C494">
        <v>43</v>
      </c>
      <c r="D494" t="s">
        <v>11</v>
      </c>
      <c r="E494" t="b">
        <v>1</v>
      </c>
      <c r="F494" s="1">
        <v>34266</v>
      </c>
      <c r="G494">
        <v>23</v>
      </c>
      <c r="H494">
        <v>183906</v>
      </c>
    </row>
    <row r="495" spans="1:8" x14ac:dyDescent="0.35">
      <c r="A495">
        <v>493</v>
      </c>
      <c r="B495">
        <v>3870</v>
      </c>
      <c r="C495">
        <v>42</v>
      </c>
      <c r="D495" t="s">
        <v>12</v>
      </c>
      <c r="E495" t="b">
        <v>0</v>
      </c>
      <c r="F495" s="1">
        <v>26681</v>
      </c>
      <c r="G495">
        <v>22</v>
      </c>
      <c r="H495">
        <v>176978</v>
      </c>
    </row>
    <row r="496" spans="1:8" x14ac:dyDescent="0.35">
      <c r="A496">
        <v>494</v>
      </c>
      <c r="B496">
        <v>3740</v>
      </c>
      <c r="C496">
        <v>59</v>
      </c>
      <c r="D496" t="s">
        <v>11</v>
      </c>
      <c r="E496" t="b">
        <v>0</v>
      </c>
      <c r="F496" s="1">
        <v>41789</v>
      </c>
      <c r="G496">
        <v>31</v>
      </c>
      <c r="H496">
        <v>257256</v>
      </c>
    </row>
    <row r="497" spans="1:8" x14ac:dyDescent="0.35">
      <c r="A497">
        <v>495</v>
      </c>
      <c r="B497">
        <v>8426</v>
      </c>
      <c r="C497">
        <v>32</v>
      </c>
      <c r="D497" t="s">
        <v>10</v>
      </c>
      <c r="E497" t="b">
        <v>1</v>
      </c>
      <c r="F497" s="1">
        <v>41612</v>
      </c>
      <c r="G497">
        <v>16</v>
      </c>
      <c r="H497">
        <v>126088</v>
      </c>
    </row>
    <row r="498" spans="1:8" x14ac:dyDescent="0.35">
      <c r="A498">
        <v>496</v>
      </c>
      <c r="B498">
        <v>9810</v>
      </c>
      <c r="C498">
        <v>26</v>
      </c>
      <c r="D498" t="s">
        <v>12</v>
      </c>
      <c r="E498" t="b">
        <v>1</v>
      </c>
      <c r="F498" s="1">
        <v>44683</v>
      </c>
      <c r="G498">
        <v>15</v>
      </c>
      <c r="H498">
        <v>118094</v>
      </c>
    </row>
    <row r="499" spans="1:8" x14ac:dyDescent="0.35">
      <c r="A499">
        <v>497</v>
      </c>
      <c r="B499">
        <v>5396</v>
      </c>
      <c r="C499">
        <v>34</v>
      </c>
      <c r="D499" t="s">
        <v>8</v>
      </c>
      <c r="E499" t="b">
        <v>0</v>
      </c>
      <c r="F499" s="1">
        <v>45769</v>
      </c>
      <c r="G499">
        <v>16</v>
      </c>
      <c r="H499">
        <v>131208</v>
      </c>
    </row>
    <row r="500" spans="1:8" x14ac:dyDescent="0.35">
      <c r="A500">
        <v>498</v>
      </c>
      <c r="B500">
        <v>7546</v>
      </c>
      <c r="C500">
        <v>60</v>
      </c>
      <c r="D500" t="s">
        <v>11</v>
      </c>
      <c r="E500" t="b">
        <v>0</v>
      </c>
      <c r="F500" s="1">
        <v>25581</v>
      </c>
      <c r="G500">
        <v>28</v>
      </c>
      <c r="H500">
        <v>224502</v>
      </c>
    </row>
    <row r="501" spans="1:8" x14ac:dyDescent="0.35">
      <c r="A501">
        <v>499</v>
      </c>
      <c r="B501">
        <v>7744</v>
      </c>
      <c r="C501">
        <v>29</v>
      </c>
      <c r="D501" t="s">
        <v>8</v>
      </c>
      <c r="E501" t="b">
        <v>1</v>
      </c>
      <c r="F501" s="1">
        <v>32315</v>
      </c>
      <c r="G501">
        <v>15</v>
      </c>
      <c r="H501">
        <v>114758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F54BE-D3CA-4B1F-A8B5-CCE8405989FC}">
  <dimension ref="A3:B9"/>
  <sheetViews>
    <sheetView topLeftCell="A2" workbookViewId="0">
      <selection activeCell="G3" sqref="G3"/>
    </sheetView>
  </sheetViews>
  <sheetFormatPr defaultRowHeight="14.5" x14ac:dyDescent="0.35"/>
  <cols>
    <col min="1" max="1" width="12.453125" bestFit="1" customWidth="1"/>
    <col min="2" max="2" width="19.1796875" bestFit="1" customWidth="1"/>
  </cols>
  <sheetData>
    <row r="3" spans="1:2" x14ac:dyDescent="0.35">
      <c r="A3" s="2" t="s">
        <v>15</v>
      </c>
      <c r="B3" t="s">
        <v>17</v>
      </c>
    </row>
    <row r="4" spans="1:2" x14ac:dyDescent="0.35">
      <c r="A4" s="3" t="s">
        <v>20</v>
      </c>
      <c r="B4">
        <v>77</v>
      </c>
    </row>
    <row r="5" spans="1:2" x14ac:dyDescent="0.35">
      <c r="A5" s="3" t="s">
        <v>21</v>
      </c>
      <c r="B5">
        <v>106</v>
      </c>
    </row>
    <row r="6" spans="1:2" x14ac:dyDescent="0.35">
      <c r="A6" s="3" t="s">
        <v>22</v>
      </c>
      <c r="B6">
        <v>147</v>
      </c>
    </row>
    <row r="7" spans="1:2" x14ac:dyDescent="0.35">
      <c r="A7" s="3" t="s">
        <v>23</v>
      </c>
      <c r="B7">
        <v>112</v>
      </c>
    </row>
    <row r="8" spans="1:2" x14ac:dyDescent="0.35">
      <c r="A8" s="3" t="s">
        <v>24</v>
      </c>
      <c r="B8">
        <v>58</v>
      </c>
    </row>
    <row r="9" spans="1:2" x14ac:dyDescent="0.35">
      <c r="A9" s="3" t="s">
        <v>16</v>
      </c>
      <c r="B9">
        <v>500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18E6E-0C03-4484-9EF9-801AC5C40AB0}">
  <dimension ref="A3:B15"/>
  <sheetViews>
    <sheetView topLeftCell="A2" workbookViewId="0">
      <selection activeCell="C26" sqref="C25:C26"/>
    </sheetView>
  </sheetViews>
  <sheetFormatPr defaultRowHeight="14.5" x14ac:dyDescent="0.35"/>
  <cols>
    <col min="1" max="1" width="15" bestFit="1" customWidth="1"/>
    <col min="2" max="2" width="15.1796875" bestFit="1" customWidth="1"/>
  </cols>
  <sheetData>
    <row r="3" spans="1:2" x14ac:dyDescent="0.35">
      <c r="A3" t="s">
        <v>18</v>
      </c>
    </row>
    <row r="4" spans="1:2" x14ac:dyDescent="0.35">
      <c r="A4" s="4">
        <v>164615.21698113208</v>
      </c>
    </row>
    <row r="9" spans="1:2" x14ac:dyDescent="0.35">
      <c r="B9" s="7">
        <f>GETPIVOTDATA("Salary",$A$3)</f>
        <v>164615.21698113208</v>
      </c>
    </row>
    <row r="15" spans="1:2" x14ac:dyDescent="0.35">
      <c r="A15" s="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B5443-4FBB-46E7-AAD5-E930A9698812}">
  <dimension ref="A3:B9"/>
  <sheetViews>
    <sheetView workbookViewId="0">
      <selection activeCell="G3" sqref="G3"/>
    </sheetView>
  </sheetViews>
  <sheetFormatPr defaultRowHeight="14.5" x14ac:dyDescent="0.35"/>
  <cols>
    <col min="1" max="1" width="12.453125" bestFit="1" customWidth="1"/>
    <col min="2" max="2" width="17.54296875" bestFit="1" customWidth="1"/>
  </cols>
  <sheetData>
    <row r="3" spans="1:2" x14ac:dyDescent="0.35">
      <c r="A3" s="2" t="s">
        <v>15</v>
      </c>
      <c r="B3" t="s">
        <v>27</v>
      </c>
    </row>
    <row r="4" spans="1:2" x14ac:dyDescent="0.35">
      <c r="A4" s="3" t="s">
        <v>8</v>
      </c>
      <c r="B4">
        <v>102</v>
      </c>
    </row>
    <row r="5" spans="1:2" x14ac:dyDescent="0.35">
      <c r="A5" s="3" t="s">
        <v>13</v>
      </c>
      <c r="B5">
        <v>87</v>
      </c>
    </row>
    <row r="6" spans="1:2" x14ac:dyDescent="0.35">
      <c r="A6" s="3" t="s">
        <v>14</v>
      </c>
      <c r="B6">
        <v>110</v>
      </c>
    </row>
    <row r="7" spans="1:2" x14ac:dyDescent="0.35">
      <c r="A7" s="3" t="s">
        <v>10</v>
      </c>
      <c r="B7">
        <v>95</v>
      </c>
    </row>
    <row r="8" spans="1:2" x14ac:dyDescent="0.35">
      <c r="A8" s="3" t="s">
        <v>9</v>
      </c>
      <c r="B8">
        <v>106</v>
      </c>
    </row>
    <row r="9" spans="1:2" x14ac:dyDescent="0.35">
      <c r="A9" s="3" t="s">
        <v>16</v>
      </c>
      <c r="B9">
        <v>500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EB7E1-1171-47E0-B6E4-E2BEA90E52FA}">
  <dimension ref="C3:Q9"/>
  <sheetViews>
    <sheetView showGridLines="0" zoomScale="92" workbookViewId="0">
      <selection activeCell="E18" sqref="E18"/>
    </sheetView>
  </sheetViews>
  <sheetFormatPr defaultRowHeight="14.5" x14ac:dyDescent="0.35"/>
  <cols>
    <col min="17" max="17" width="14.26953125" customWidth="1"/>
  </cols>
  <sheetData>
    <row r="3" spans="3:17" ht="15" thickBot="1" x14ac:dyDescent="0.4"/>
    <row r="4" spans="3:17" x14ac:dyDescent="0.35">
      <c r="C4" s="51" t="s">
        <v>39</v>
      </c>
      <c r="D4" s="52"/>
      <c r="E4" s="52"/>
      <c r="F4" s="52"/>
      <c r="G4" s="52"/>
      <c r="H4" s="52"/>
      <c r="I4" s="52"/>
      <c r="J4" s="52"/>
      <c r="K4" s="52"/>
      <c r="L4" s="52"/>
      <c r="M4" s="52"/>
      <c r="N4" s="52"/>
      <c r="O4" s="52"/>
      <c r="P4" s="52"/>
      <c r="Q4" s="53"/>
    </row>
    <row r="5" spans="3:17" x14ac:dyDescent="0.35">
      <c r="C5" s="54"/>
      <c r="D5" s="55"/>
      <c r="E5" s="55"/>
      <c r="F5" s="55"/>
      <c r="G5" s="55"/>
      <c r="H5" s="55"/>
      <c r="I5" s="55"/>
      <c r="J5" s="55"/>
      <c r="K5" s="55"/>
      <c r="L5" s="55"/>
      <c r="M5" s="55"/>
      <c r="N5" s="55"/>
      <c r="O5" s="55"/>
      <c r="P5" s="55"/>
      <c r="Q5" s="56"/>
    </row>
    <row r="6" spans="3:17" x14ac:dyDescent="0.35">
      <c r="C6" s="25" t="s">
        <v>33</v>
      </c>
      <c r="D6" s="26"/>
      <c r="E6" s="26"/>
      <c r="F6" s="26"/>
      <c r="G6" s="26"/>
      <c r="H6" s="26"/>
      <c r="I6" s="26"/>
      <c r="J6" s="26"/>
      <c r="K6" s="26"/>
      <c r="L6" s="26"/>
      <c r="M6" s="26"/>
      <c r="N6" s="26"/>
      <c r="O6" s="26"/>
      <c r="P6" s="26"/>
      <c r="Q6" s="27">
        <f>AVERAGE('CLEANED DATA'!G2:G501)</f>
        <v>21.315999999999999</v>
      </c>
    </row>
    <row r="7" spans="3:17" x14ac:dyDescent="0.35">
      <c r="C7" s="25" t="s">
        <v>38</v>
      </c>
      <c r="D7" s="26"/>
      <c r="E7" s="26"/>
      <c r="F7" s="26"/>
      <c r="G7" s="26"/>
      <c r="H7" s="26"/>
      <c r="I7" s="26"/>
      <c r="J7" s="26"/>
      <c r="K7" s="26"/>
      <c r="L7" s="26"/>
      <c r="M7" s="26"/>
      <c r="N7" s="26"/>
      <c r="O7" s="26"/>
      <c r="P7" s="26"/>
      <c r="Q7" s="27">
        <f>COUNTIF('CLEANED DATA'!D:D,'CLEANED DATA'!D3)</f>
        <v>257</v>
      </c>
    </row>
    <row r="8" spans="3:17" x14ac:dyDescent="0.35">
      <c r="C8" s="25" t="s">
        <v>34</v>
      </c>
      <c r="D8" s="26"/>
      <c r="E8" s="26"/>
      <c r="F8" s="26"/>
      <c r="G8" s="26"/>
      <c r="H8" s="26"/>
      <c r="I8" s="26"/>
      <c r="J8" s="26"/>
      <c r="K8" s="26"/>
      <c r="L8" s="26"/>
      <c r="M8" s="26"/>
      <c r="N8" s="26"/>
      <c r="O8" s="26"/>
      <c r="P8" s="26"/>
      <c r="Q8" s="28">
        <f>AVERAGEIF('CLEANED DATA'!D:D,'CLEANED DATA'!D3,'CLEANED DATA'!H:H)</f>
        <v>171841.03891050583</v>
      </c>
    </row>
    <row r="9" spans="3:17" ht="15" thickBot="1" x14ac:dyDescent="0.4">
      <c r="C9" s="29" t="s">
        <v>36</v>
      </c>
      <c r="D9" s="30"/>
      <c r="E9" s="30"/>
      <c r="F9" s="30"/>
      <c r="G9" s="30"/>
      <c r="H9" s="30"/>
      <c r="I9" s="30"/>
      <c r="J9" s="30"/>
      <c r="K9" s="30"/>
      <c r="L9" s="30"/>
      <c r="M9" s="30"/>
      <c r="N9" s="30"/>
      <c r="O9" s="30"/>
      <c r="P9" s="30"/>
      <c r="Q9" s="31">
        <f>COUNTIF('CLEANED DATA'!G:G,"&gt;10")</f>
        <v>481</v>
      </c>
    </row>
  </sheetData>
  <mergeCells count="1">
    <mergeCell ref="C4:Q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0D31-EEE6-44DC-8E89-57CEE72D6D6F}">
  <dimension ref="A3:A4"/>
  <sheetViews>
    <sheetView workbookViewId="0">
      <selection activeCell="L18" sqref="L18"/>
    </sheetView>
  </sheetViews>
  <sheetFormatPr defaultRowHeight="14.5" x14ac:dyDescent="0.35"/>
  <cols>
    <col min="1" max="1" width="19.26953125" bestFit="1" customWidth="1"/>
    <col min="2" max="2" width="19.1796875" bestFit="1" customWidth="1"/>
  </cols>
  <sheetData>
    <row r="3" spans="1:1" x14ac:dyDescent="0.35">
      <c r="A3" t="s">
        <v>17</v>
      </c>
    </row>
    <row r="4" spans="1:1" x14ac:dyDescent="0.35">
      <c r="A4" s="86">
        <v>106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DAAEF-F830-44CD-B248-4EF59F6090A7}">
  <dimension ref="B4:R18"/>
  <sheetViews>
    <sheetView topLeftCell="A2" workbookViewId="0">
      <selection activeCell="H20" sqref="H20"/>
    </sheetView>
  </sheetViews>
  <sheetFormatPr defaultRowHeight="14.5" x14ac:dyDescent="0.35"/>
  <cols>
    <col min="7" max="7" width="9" customWidth="1"/>
  </cols>
  <sheetData>
    <row r="4" spans="2:18" ht="15" thickBot="1" x14ac:dyDescent="0.4"/>
    <row r="5" spans="2:18" ht="15" thickBot="1" x14ac:dyDescent="0.4">
      <c r="B5" s="48" t="s">
        <v>55</v>
      </c>
      <c r="C5" s="49"/>
      <c r="D5" s="49"/>
      <c r="E5" s="49"/>
      <c r="F5" s="49"/>
      <c r="G5" s="50"/>
      <c r="J5" s="48" t="s">
        <v>58</v>
      </c>
      <c r="K5" s="49"/>
      <c r="L5" s="49"/>
      <c r="M5" s="49"/>
      <c r="N5" s="49"/>
      <c r="O5" s="49"/>
      <c r="P5" s="49"/>
      <c r="Q5" s="49"/>
      <c r="R5" s="50"/>
    </row>
    <row r="6" spans="2:18" x14ac:dyDescent="0.35">
      <c r="B6" s="39"/>
      <c r="C6" s="40"/>
      <c r="D6" s="40"/>
      <c r="E6" s="40"/>
      <c r="F6" s="40"/>
      <c r="G6" s="41"/>
      <c r="J6" s="39"/>
      <c r="K6" s="40"/>
      <c r="L6" s="40"/>
      <c r="M6" s="40"/>
      <c r="N6" s="40"/>
      <c r="O6" s="40"/>
      <c r="P6" s="40"/>
      <c r="Q6" s="40"/>
      <c r="R6" s="41"/>
    </row>
    <row r="7" spans="2:18" x14ac:dyDescent="0.35">
      <c r="B7" s="39" t="s">
        <v>59</v>
      </c>
      <c r="C7" s="40"/>
      <c r="D7" s="40"/>
      <c r="E7" s="40"/>
      <c r="F7" s="40"/>
      <c r="G7" s="41"/>
      <c r="J7" s="39" t="s">
        <v>60</v>
      </c>
      <c r="K7" s="40"/>
      <c r="L7" s="40"/>
      <c r="M7" s="40"/>
      <c r="N7" s="40"/>
      <c r="O7" s="40"/>
      <c r="P7" s="40"/>
      <c r="Q7" s="40"/>
      <c r="R7" s="41"/>
    </row>
    <row r="8" spans="2:18" x14ac:dyDescent="0.35">
      <c r="B8" s="39"/>
      <c r="C8" s="40"/>
      <c r="D8" s="40"/>
      <c r="E8" s="40"/>
      <c r="F8" s="40"/>
      <c r="G8" s="41"/>
      <c r="J8" s="39"/>
      <c r="K8" s="40"/>
      <c r="L8" s="40"/>
      <c r="M8" s="40"/>
      <c r="N8" s="40"/>
      <c r="O8" s="40"/>
      <c r="P8" s="40"/>
      <c r="Q8" s="40"/>
      <c r="R8" s="41"/>
    </row>
    <row r="9" spans="2:18" x14ac:dyDescent="0.35">
      <c r="B9" s="39" t="s">
        <v>62</v>
      </c>
      <c r="C9" s="40"/>
      <c r="D9" s="40"/>
      <c r="E9" s="40"/>
      <c r="F9" s="40"/>
      <c r="G9" s="41"/>
      <c r="J9" s="39" t="s">
        <v>63</v>
      </c>
      <c r="K9" s="40"/>
      <c r="L9" s="40"/>
      <c r="M9" s="40"/>
      <c r="N9" s="40"/>
      <c r="O9" s="40"/>
      <c r="P9" s="40"/>
      <c r="Q9" s="40"/>
      <c r="R9" s="41"/>
    </row>
    <row r="10" spans="2:18" x14ac:dyDescent="0.35">
      <c r="B10" s="39"/>
      <c r="C10" s="40"/>
      <c r="D10" s="40"/>
      <c r="E10" s="40"/>
      <c r="F10" s="40"/>
      <c r="G10" s="41"/>
      <c r="J10" s="39"/>
      <c r="K10" s="40"/>
      <c r="L10" s="40"/>
      <c r="M10" s="40"/>
      <c r="N10" s="40"/>
      <c r="O10" s="40"/>
      <c r="P10" s="40"/>
      <c r="Q10" s="40"/>
      <c r="R10" s="41"/>
    </row>
    <row r="11" spans="2:18" x14ac:dyDescent="0.35">
      <c r="B11" s="39" t="s">
        <v>56</v>
      </c>
      <c r="C11" s="40"/>
      <c r="D11" s="40"/>
      <c r="E11" s="40"/>
      <c r="F11" s="40"/>
      <c r="G11" s="41"/>
      <c r="J11" s="39" t="s">
        <v>61</v>
      </c>
      <c r="K11" s="40"/>
      <c r="L11" s="40"/>
      <c r="M11" s="40"/>
      <c r="N11" s="40"/>
      <c r="O11" s="40"/>
      <c r="P11" s="40"/>
      <c r="Q11" s="40"/>
      <c r="R11" s="41"/>
    </row>
    <row r="12" spans="2:18" x14ac:dyDescent="0.35">
      <c r="B12" s="39"/>
      <c r="C12" s="40"/>
      <c r="D12" s="40"/>
      <c r="E12" s="40"/>
      <c r="F12" s="40"/>
      <c r="G12" s="41"/>
      <c r="J12" s="39"/>
      <c r="K12" s="40"/>
      <c r="L12" s="40"/>
      <c r="M12" s="40"/>
      <c r="N12" s="40"/>
      <c r="O12" s="40"/>
      <c r="P12" s="40"/>
      <c r="Q12" s="40"/>
      <c r="R12" s="41"/>
    </row>
    <row r="13" spans="2:18" x14ac:dyDescent="0.35">
      <c r="B13" s="39" t="s">
        <v>65</v>
      </c>
      <c r="C13" s="40"/>
      <c r="D13" s="40"/>
      <c r="E13" s="40"/>
      <c r="F13" s="40"/>
      <c r="G13" s="41"/>
      <c r="J13" s="39" t="s">
        <v>66</v>
      </c>
      <c r="K13" s="40"/>
      <c r="L13" s="40"/>
      <c r="M13" s="40"/>
      <c r="N13" s="40"/>
      <c r="O13" s="40"/>
      <c r="P13" s="40"/>
      <c r="Q13" s="40"/>
      <c r="R13" s="41"/>
    </row>
    <row r="14" spans="2:18" x14ac:dyDescent="0.35">
      <c r="B14" s="39"/>
      <c r="C14" s="40"/>
      <c r="D14" s="40"/>
      <c r="E14" s="40"/>
      <c r="F14" s="40"/>
      <c r="G14" s="41"/>
      <c r="J14" s="39"/>
      <c r="K14" s="40"/>
      <c r="L14" s="40"/>
      <c r="M14" s="40"/>
      <c r="N14" s="40"/>
      <c r="O14" s="40"/>
      <c r="P14" s="40"/>
      <c r="Q14" s="40"/>
      <c r="R14" s="41"/>
    </row>
    <row r="15" spans="2:18" x14ac:dyDescent="0.35">
      <c r="B15" s="39" t="s">
        <v>67</v>
      </c>
      <c r="C15" s="40"/>
      <c r="D15" s="40"/>
      <c r="E15" s="40"/>
      <c r="F15" s="40"/>
      <c r="G15" s="41"/>
      <c r="J15" s="39" t="s">
        <v>68</v>
      </c>
      <c r="K15" s="40"/>
      <c r="L15" s="40"/>
      <c r="M15" s="40"/>
      <c r="N15" s="40"/>
      <c r="O15" s="40"/>
      <c r="P15" s="40"/>
      <c r="Q15" s="40"/>
      <c r="R15" s="41"/>
    </row>
    <row r="16" spans="2:18" x14ac:dyDescent="0.35">
      <c r="B16" s="39"/>
      <c r="C16" s="40"/>
      <c r="D16" s="40"/>
      <c r="E16" s="40"/>
      <c r="F16" s="40"/>
      <c r="G16" s="41"/>
      <c r="J16" s="39"/>
      <c r="K16" s="40"/>
      <c r="L16" s="40"/>
      <c r="M16" s="40"/>
      <c r="N16" s="40"/>
      <c r="O16" s="40"/>
      <c r="P16" s="40"/>
      <c r="Q16" s="40"/>
      <c r="R16" s="41"/>
    </row>
    <row r="17" spans="2:18" ht="15" thickBot="1" x14ac:dyDescent="0.4">
      <c r="B17" s="45" t="s">
        <v>57</v>
      </c>
      <c r="C17" s="46"/>
      <c r="D17" s="46"/>
      <c r="E17" s="46"/>
      <c r="F17" s="46"/>
      <c r="G17" s="47"/>
      <c r="J17" s="42" t="s">
        <v>64</v>
      </c>
      <c r="K17" s="43"/>
      <c r="L17" s="43"/>
      <c r="M17" s="43"/>
      <c r="N17" s="43"/>
      <c r="O17" s="43"/>
      <c r="P17" s="43"/>
      <c r="Q17" s="43"/>
      <c r="R17" s="44"/>
    </row>
    <row r="18" spans="2:18" x14ac:dyDescent="0.35">
      <c r="B18" s="38"/>
      <c r="C18" s="38"/>
      <c r="D18" s="38"/>
      <c r="E18" s="38"/>
      <c r="F18" s="38"/>
      <c r="G18" s="38"/>
    </row>
  </sheetData>
  <mergeCells count="2">
    <mergeCell ref="B5:G5"/>
    <mergeCell ref="J5:R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E9F25-76B4-4CF1-8243-909070AEBD06}">
  <dimension ref="B2:N16"/>
  <sheetViews>
    <sheetView showGridLines="0" zoomScale="95" workbookViewId="0">
      <selection activeCell="I17" sqref="I17"/>
    </sheetView>
  </sheetViews>
  <sheetFormatPr defaultRowHeight="14.5" x14ac:dyDescent="0.35"/>
  <cols>
    <col min="9" max="9" width="11.1796875" customWidth="1"/>
  </cols>
  <sheetData>
    <row r="2" spans="2:14" ht="15" thickBot="1" x14ac:dyDescent="0.4"/>
    <row r="3" spans="2:14" ht="14.5" customHeight="1" x14ac:dyDescent="0.35">
      <c r="B3" s="69" t="s">
        <v>40</v>
      </c>
      <c r="C3" s="70"/>
      <c r="D3" s="70"/>
      <c r="E3" s="70"/>
      <c r="F3" s="70"/>
      <c r="G3" s="70"/>
      <c r="H3" s="70"/>
      <c r="I3" s="70"/>
      <c r="J3" s="70"/>
      <c r="K3" s="70"/>
      <c r="L3" s="70"/>
      <c r="M3" s="70"/>
      <c r="N3" s="71"/>
    </row>
    <row r="4" spans="2:14" ht="14.5" customHeight="1" x14ac:dyDescent="0.35">
      <c r="B4" s="72"/>
      <c r="C4" s="73"/>
      <c r="D4" s="73"/>
      <c r="E4" s="73"/>
      <c r="F4" s="73"/>
      <c r="G4" s="73"/>
      <c r="H4" s="73"/>
      <c r="I4" s="73"/>
      <c r="J4" s="73"/>
      <c r="K4" s="73"/>
      <c r="L4" s="73"/>
      <c r="M4" s="73"/>
      <c r="N4" s="74"/>
    </row>
    <row r="5" spans="2:14" ht="14.5" customHeight="1" thickBot="1" x14ac:dyDescent="0.4">
      <c r="B5" s="75"/>
      <c r="C5" s="76"/>
      <c r="D5" s="76"/>
      <c r="E5" s="76"/>
      <c r="F5" s="76"/>
      <c r="G5" s="76"/>
      <c r="H5" s="76"/>
      <c r="I5" s="76"/>
      <c r="J5" s="76"/>
      <c r="K5" s="76"/>
      <c r="L5" s="76"/>
      <c r="M5" s="76"/>
      <c r="N5" s="77"/>
    </row>
    <row r="6" spans="2:14" ht="15" thickBot="1" x14ac:dyDescent="0.4"/>
    <row r="7" spans="2:14" ht="14.5" customHeight="1" x14ac:dyDescent="0.35">
      <c r="B7" s="57" t="s">
        <v>44</v>
      </c>
      <c r="C7" s="58"/>
      <c r="D7" s="58"/>
      <c r="E7" s="58"/>
      <c r="F7" s="58"/>
      <c r="G7" s="59"/>
      <c r="I7" s="63" t="s">
        <v>45</v>
      </c>
      <c r="J7" s="64"/>
      <c r="K7" s="64"/>
      <c r="L7" s="64"/>
      <c r="M7" s="64"/>
      <c r="N7" s="65"/>
    </row>
    <row r="8" spans="2:14" ht="14.5" customHeight="1" x14ac:dyDescent="0.35">
      <c r="B8" s="60"/>
      <c r="C8" s="61"/>
      <c r="D8" s="61"/>
      <c r="E8" s="61"/>
      <c r="F8" s="61"/>
      <c r="G8" s="62"/>
      <c r="I8" s="66"/>
      <c r="J8" s="67"/>
      <c r="K8" s="67"/>
      <c r="L8" s="67"/>
      <c r="M8" s="67"/>
      <c r="N8" s="68"/>
    </row>
    <row r="9" spans="2:14" x14ac:dyDescent="0.35">
      <c r="B9" s="32" t="s">
        <v>69</v>
      </c>
      <c r="C9" s="33"/>
      <c r="D9" s="33"/>
      <c r="E9" s="33"/>
      <c r="F9" s="33"/>
      <c r="G9" s="34"/>
      <c r="I9" s="32" t="s">
        <v>70</v>
      </c>
      <c r="J9" s="33"/>
      <c r="K9" s="33"/>
      <c r="L9" s="33"/>
      <c r="M9" s="33"/>
      <c r="N9" s="34"/>
    </row>
    <row r="10" spans="2:14" x14ac:dyDescent="0.35">
      <c r="B10" s="32" t="s">
        <v>41</v>
      </c>
      <c r="C10" s="33"/>
      <c r="D10" s="33"/>
      <c r="E10" s="33"/>
      <c r="F10" s="33"/>
      <c r="G10" s="34"/>
      <c r="I10" s="32" t="s">
        <v>48</v>
      </c>
      <c r="J10" s="33"/>
      <c r="K10" s="33"/>
      <c r="L10" s="33"/>
      <c r="M10" s="33"/>
      <c r="N10" s="34"/>
    </row>
    <row r="11" spans="2:14" x14ac:dyDescent="0.35">
      <c r="B11" s="32" t="s">
        <v>42</v>
      </c>
      <c r="C11" s="33"/>
      <c r="D11" s="33"/>
      <c r="E11" s="33"/>
      <c r="F11" s="33"/>
      <c r="G11" s="34"/>
      <c r="I11" s="32" t="s">
        <v>48</v>
      </c>
      <c r="J11" s="33"/>
      <c r="K11" s="33"/>
      <c r="L11" s="33"/>
      <c r="M11" s="33"/>
      <c r="N11" s="34"/>
    </row>
    <row r="12" spans="2:14" x14ac:dyDescent="0.35">
      <c r="B12" s="32" t="s">
        <v>43</v>
      </c>
      <c r="C12" s="33"/>
      <c r="D12" s="33"/>
      <c r="E12" s="33"/>
      <c r="F12" s="33"/>
      <c r="G12" s="34"/>
      <c r="I12" s="32" t="s">
        <v>49</v>
      </c>
      <c r="J12" s="33"/>
      <c r="K12" s="33"/>
      <c r="L12" s="33"/>
      <c r="M12" s="33"/>
      <c r="N12" s="34"/>
    </row>
    <row r="13" spans="2:14" x14ac:dyDescent="0.35">
      <c r="B13" s="32" t="s">
        <v>46</v>
      </c>
      <c r="C13" s="33"/>
      <c r="D13" s="33"/>
      <c r="E13" s="33"/>
      <c r="F13" s="33"/>
      <c r="G13" s="34"/>
      <c r="I13" s="32" t="s">
        <v>50</v>
      </c>
      <c r="J13" s="33"/>
      <c r="K13" s="33"/>
      <c r="L13" s="33"/>
      <c r="M13" s="33"/>
      <c r="N13" s="34"/>
    </row>
    <row r="14" spans="2:14" x14ac:dyDescent="0.35">
      <c r="B14" s="32" t="s">
        <v>47</v>
      </c>
      <c r="C14" s="33"/>
      <c r="D14" s="33"/>
      <c r="E14" s="33"/>
      <c r="F14" s="33"/>
      <c r="G14" s="34"/>
      <c r="I14" s="32" t="s">
        <v>51</v>
      </c>
      <c r="J14" s="33"/>
      <c r="K14" s="33"/>
      <c r="L14" s="33"/>
      <c r="M14" s="33"/>
      <c r="N14" s="34"/>
    </row>
    <row r="15" spans="2:14" x14ac:dyDescent="0.35">
      <c r="B15" s="32" t="s">
        <v>71</v>
      </c>
      <c r="C15" s="33"/>
      <c r="D15" s="33"/>
      <c r="E15" s="33"/>
      <c r="F15" s="33"/>
      <c r="G15" s="34"/>
      <c r="I15" s="32" t="s">
        <v>52</v>
      </c>
      <c r="J15" s="33"/>
      <c r="K15" s="33"/>
      <c r="L15" s="33"/>
      <c r="M15" s="33"/>
      <c r="N15" s="34"/>
    </row>
    <row r="16" spans="2:14" ht="15" thickBot="1" x14ac:dyDescent="0.4">
      <c r="B16" s="35" t="s">
        <v>72</v>
      </c>
      <c r="C16" s="36"/>
      <c r="D16" s="36"/>
      <c r="E16" s="36"/>
      <c r="F16" s="36"/>
      <c r="G16" s="37"/>
      <c r="I16" s="35" t="s">
        <v>73</v>
      </c>
      <c r="J16" s="36"/>
      <c r="K16" s="36"/>
      <c r="L16" s="36"/>
      <c r="M16" s="36"/>
      <c r="N16" s="37"/>
    </row>
  </sheetData>
  <mergeCells count="3">
    <mergeCell ref="B7:G8"/>
    <mergeCell ref="I7:N8"/>
    <mergeCell ref="B3:N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B7120-D879-4CCB-81CB-37FBE2E4F01A}">
  <dimension ref="B1:P17"/>
  <sheetViews>
    <sheetView showGridLines="0" topLeftCell="C1" zoomScale="106" workbookViewId="0">
      <selection activeCell="J25" sqref="J25"/>
    </sheetView>
  </sheetViews>
  <sheetFormatPr defaultRowHeight="14.5" x14ac:dyDescent="0.35"/>
  <sheetData>
    <row r="1" spans="2:16" ht="15" thickBot="1" x14ac:dyDescent="0.4"/>
    <row r="2" spans="2:16" x14ac:dyDescent="0.35">
      <c r="B2" s="84" t="s">
        <v>28</v>
      </c>
      <c r="C2" s="52"/>
      <c r="D2" s="52"/>
      <c r="E2" s="52"/>
      <c r="F2" s="52"/>
      <c r="G2" s="52"/>
      <c r="H2" s="52"/>
      <c r="I2" s="52"/>
      <c r="J2" s="52"/>
      <c r="K2" s="52"/>
      <c r="L2" s="52"/>
      <c r="M2" s="52"/>
      <c r="N2" s="52"/>
      <c r="O2" s="52"/>
      <c r="P2" s="53"/>
    </row>
    <row r="3" spans="2:16" x14ac:dyDescent="0.35">
      <c r="B3" s="54"/>
      <c r="C3" s="55"/>
      <c r="D3" s="55"/>
      <c r="E3" s="55"/>
      <c r="F3" s="55"/>
      <c r="G3" s="55"/>
      <c r="H3" s="55"/>
      <c r="I3" s="55"/>
      <c r="J3" s="55"/>
      <c r="K3" s="55"/>
      <c r="L3" s="55"/>
      <c r="M3" s="55"/>
      <c r="N3" s="55"/>
      <c r="O3" s="55"/>
      <c r="P3" s="56"/>
    </row>
    <row r="4" spans="2:16" x14ac:dyDescent="0.35">
      <c r="B4" s="78" t="s">
        <v>29</v>
      </c>
      <c r="C4" s="79"/>
      <c r="D4" s="79"/>
      <c r="E4" s="79"/>
      <c r="F4" s="79"/>
      <c r="G4" s="79"/>
      <c r="H4" s="79"/>
      <c r="I4" s="79"/>
      <c r="J4" s="79"/>
      <c r="K4" s="79"/>
      <c r="L4" s="79"/>
      <c r="M4" s="79"/>
      <c r="N4" s="79"/>
      <c r="O4" s="79"/>
      <c r="P4" s="80"/>
    </row>
    <row r="5" spans="2:16" x14ac:dyDescent="0.35">
      <c r="B5" s="78" t="s">
        <v>30</v>
      </c>
      <c r="C5" s="79"/>
      <c r="D5" s="79"/>
      <c r="E5" s="79"/>
      <c r="F5" s="79"/>
      <c r="G5" s="79"/>
      <c r="H5" s="79"/>
      <c r="I5" s="79"/>
      <c r="J5" s="79"/>
      <c r="K5" s="79"/>
      <c r="L5" s="79"/>
      <c r="M5" s="79"/>
      <c r="N5" s="79"/>
      <c r="O5" s="79"/>
      <c r="P5" s="80"/>
    </row>
    <row r="6" spans="2:16" x14ac:dyDescent="0.35">
      <c r="B6" s="78" t="s">
        <v>31</v>
      </c>
      <c r="C6" s="79"/>
      <c r="D6" s="79"/>
      <c r="E6" s="79"/>
      <c r="F6" s="79"/>
      <c r="G6" s="79"/>
      <c r="H6" s="79"/>
      <c r="I6" s="79"/>
      <c r="J6" s="79"/>
      <c r="K6" s="79"/>
      <c r="L6" s="79"/>
      <c r="M6" s="79"/>
      <c r="N6" s="79"/>
      <c r="O6" s="79"/>
      <c r="P6" s="80"/>
    </row>
    <row r="7" spans="2:16" x14ac:dyDescent="0.35">
      <c r="B7" s="78" t="s">
        <v>54</v>
      </c>
      <c r="C7" s="79"/>
      <c r="D7" s="79"/>
      <c r="E7" s="79"/>
      <c r="F7" s="79"/>
      <c r="G7" s="79"/>
      <c r="H7" s="79"/>
      <c r="I7" s="79"/>
      <c r="J7" s="79"/>
      <c r="K7" s="79"/>
      <c r="L7" s="79"/>
      <c r="M7" s="79"/>
      <c r="N7" s="79"/>
      <c r="O7" s="79"/>
      <c r="P7" s="80"/>
    </row>
    <row r="8" spans="2:16" ht="15" thickBot="1" x14ac:dyDescent="0.4">
      <c r="B8" s="81" t="s">
        <v>32</v>
      </c>
      <c r="C8" s="82"/>
      <c r="D8" s="82"/>
      <c r="E8" s="82"/>
      <c r="F8" s="82"/>
      <c r="G8" s="82"/>
      <c r="H8" s="82"/>
      <c r="I8" s="82"/>
      <c r="J8" s="82"/>
      <c r="K8" s="82"/>
      <c r="L8" s="82"/>
      <c r="M8" s="82"/>
      <c r="N8" s="82"/>
      <c r="O8" s="82"/>
      <c r="P8" s="83"/>
    </row>
    <row r="11" spans="2:16" ht="15" thickBot="1" x14ac:dyDescent="0.4"/>
    <row r="12" spans="2:16" x14ac:dyDescent="0.35">
      <c r="B12" s="84" t="s">
        <v>37</v>
      </c>
      <c r="C12" s="52"/>
      <c r="D12" s="52"/>
      <c r="E12" s="52"/>
      <c r="F12" s="52"/>
      <c r="G12" s="52"/>
      <c r="H12" s="52"/>
      <c r="I12" s="52"/>
      <c r="J12" s="52"/>
      <c r="K12" s="52"/>
      <c r="L12" s="52"/>
      <c r="M12" s="52"/>
      <c r="N12" s="52"/>
      <c r="O12" s="52"/>
      <c r="P12" s="53"/>
    </row>
    <row r="13" spans="2:16" x14ac:dyDescent="0.35">
      <c r="B13" s="54"/>
      <c r="C13" s="55"/>
      <c r="D13" s="55"/>
      <c r="E13" s="55"/>
      <c r="F13" s="55"/>
      <c r="G13" s="55"/>
      <c r="H13" s="55"/>
      <c r="I13" s="55"/>
      <c r="J13" s="55"/>
      <c r="K13" s="55"/>
      <c r="L13" s="55"/>
      <c r="M13" s="55"/>
      <c r="N13" s="55"/>
      <c r="O13" s="55"/>
      <c r="P13" s="56"/>
    </row>
    <row r="14" spans="2:16" x14ac:dyDescent="0.35">
      <c r="B14" s="78" t="s">
        <v>33</v>
      </c>
      <c r="C14" s="79"/>
      <c r="D14" s="79"/>
      <c r="E14" s="79"/>
      <c r="F14" s="79"/>
      <c r="G14" s="79"/>
      <c r="H14" s="79"/>
      <c r="I14" s="79"/>
      <c r="J14" s="79"/>
      <c r="K14" s="79"/>
      <c r="L14" s="79"/>
      <c r="M14" s="79"/>
      <c r="N14" s="79"/>
      <c r="O14" s="79"/>
      <c r="P14" s="80"/>
    </row>
    <row r="15" spans="2:16" x14ac:dyDescent="0.35">
      <c r="B15" s="78" t="s">
        <v>35</v>
      </c>
      <c r="C15" s="79"/>
      <c r="D15" s="79"/>
      <c r="E15" s="79"/>
      <c r="F15" s="79"/>
      <c r="G15" s="79"/>
      <c r="H15" s="79"/>
      <c r="I15" s="79"/>
      <c r="J15" s="79"/>
      <c r="K15" s="79"/>
      <c r="L15" s="79"/>
      <c r="M15" s="79"/>
      <c r="N15" s="79"/>
      <c r="O15" s="79"/>
      <c r="P15" s="80"/>
    </row>
    <row r="16" spans="2:16" x14ac:dyDescent="0.35">
      <c r="B16" s="78" t="s">
        <v>34</v>
      </c>
      <c r="C16" s="79"/>
      <c r="D16" s="79"/>
      <c r="E16" s="79"/>
      <c r="F16" s="79"/>
      <c r="G16" s="79"/>
      <c r="H16" s="79"/>
      <c r="I16" s="79"/>
      <c r="J16" s="79"/>
      <c r="K16" s="79"/>
      <c r="L16" s="79"/>
      <c r="M16" s="79"/>
      <c r="N16" s="79"/>
      <c r="O16" s="79"/>
      <c r="P16" s="80"/>
    </row>
    <row r="17" spans="2:16" ht="15" thickBot="1" x14ac:dyDescent="0.4">
      <c r="B17" s="81" t="s">
        <v>36</v>
      </c>
      <c r="C17" s="82"/>
      <c r="D17" s="82"/>
      <c r="E17" s="82"/>
      <c r="F17" s="82"/>
      <c r="G17" s="82"/>
      <c r="H17" s="82"/>
      <c r="I17" s="82"/>
      <c r="J17" s="82"/>
      <c r="K17" s="82"/>
      <c r="L17" s="82"/>
      <c r="M17" s="82"/>
      <c r="N17" s="82"/>
      <c r="O17" s="82"/>
      <c r="P17" s="83"/>
    </row>
  </sheetData>
  <mergeCells count="11">
    <mergeCell ref="B12:P13"/>
    <mergeCell ref="B14:P14"/>
    <mergeCell ref="B15:P15"/>
    <mergeCell ref="B16:P16"/>
    <mergeCell ref="B17:P17"/>
    <mergeCell ref="B7:P7"/>
    <mergeCell ref="B6:P6"/>
    <mergeCell ref="B8:P8"/>
    <mergeCell ref="B2:P3"/>
    <mergeCell ref="B4:P4"/>
    <mergeCell ref="B5:P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3CC65-016A-49F1-99A6-BC063A0CF191}">
  <dimension ref="A3:B7"/>
  <sheetViews>
    <sheetView workbookViewId="0">
      <selection activeCell="B5" sqref="B5"/>
    </sheetView>
  </sheetViews>
  <sheetFormatPr defaultRowHeight="14.5" x14ac:dyDescent="0.35"/>
  <cols>
    <col min="1" max="1" width="12.453125" bestFit="1" customWidth="1"/>
    <col min="2" max="2" width="19.1796875" bestFit="1" customWidth="1"/>
  </cols>
  <sheetData>
    <row r="3" spans="1:2" x14ac:dyDescent="0.35">
      <c r="A3" s="2" t="s">
        <v>15</v>
      </c>
      <c r="B3" t="s">
        <v>17</v>
      </c>
    </row>
    <row r="4" spans="1:2" x14ac:dyDescent="0.35">
      <c r="A4" s="3" t="s">
        <v>26</v>
      </c>
      <c r="B4" s="8">
        <v>0.51400000000000001</v>
      </c>
    </row>
    <row r="5" spans="1:2" x14ac:dyDescent="0.35">
      <c r="A5" s="3" t="s">
        <v>25</v>
      </c>
      <c r="B5" s="8">
        <v>0.48599999999999999</v>
      </c>
    </row>
    <row r="6" spans="1:2" x14ac:dyDescent="0.35">
      <c r="A6" s="3" t="s">
        <v>53</v>
      </c>
      <c r="B6" s="8">
        <v>0</v>
      </c>
    </row>
    <row r="7" spans="1:2" x14ac:dyDescent="0.35">
      <c r="A7" s="3" t="s">
        <v>16</v>
      </c>
      <c r="B7" s="8">
        <v>1</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91BF0-066C-4ECF-8A67-7D7334201841}">
  <dimension ref="A3:B9"/>
  <sheetViews>
    <sheetView workbookViewId="0">
      <selection activeCell="L14" sqref="L14"/>
    </sheetView>
  </sheetViews>
  <sheetFormatPr defaultRowHeight="14.5" x14ac:dyDescent="0.35"/>
  <cols>
    <col min="1" max="1" width="12.453125" bestFit="1" customWidth="1"/>
    <col min="2" max="2" width="17.81640625" bestFit="1" customWidth="1"/>
  </cols>
  <sheetData>
    <row r="3" spans="1:2" x14ac:dyDescent="0.35">
      <c r="A3" s="2" t="s">
        <v>15</v>
      </c>
      <c r="B3" t="s">
        <v>74</v>
      </c>
    </row>
    <row r="4" spans="1:2" x14ac:dyDescent="0.35">
      <c r="A4" s="3" t="s">
        <v>20</v>
      </c>
      <c r="B4" s="86">
        <v>38</v>
      </c>
    </row>
    <row r="5" spans="1:2" x14ac:dyDescent="0.35">
      <c r="A5" s="3" t="s">
        <v>21</v>
      </c>
      <c r="B5" s="86">
        <v>53</v>
      </c>
    </row>
    <row r="6" spans="1:2" x14ac:dyDescent="0.35">
      <c r="A6" s="3" t="s">
        <v>22</v>
      </c>
      <c r="B6" s="86">
        <v>80</v>
      </c>
    </row>
    <row r="7" spans="1:2" x14ac:dyDescent="0.35">
      <c r="A7" s="3" t="s">
        <v>23</v>
      </c>
      <c r="B7" s="86">
        <v>60</v>
      </c>
    </row>
    <row r="8" spans="1:2" x14ac:dyDescent="0.35">
      <c r="A8" s="3" t="s">
        <v>24</v>
      </c>
      <c r="B8" s="86">
        <v>26</v>
      </c>
    </row>
    <row r="9" spans="1:2" x14ac:dyDescent="0.35">
      <c r="A9" s="3" t="s">
        <v>16</v>
      </c>
      <c r="B9" s="86">
        <v>257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8B80B-C370-4353-AACB-636F9E1ED9A4}">
  <dimension ref="A1:K503"/>
  <sheetViews>
    <sheetView zoomScale="114" workbookViewId="0">
      <selection activeCell="E6" sqref="A1:I502"/>
    </sheetView>
  </sheetViews>
  <sheetFormatPr defaultRowHeight="14.5" x14ac:dyDescent="0.35"/>
  <cols>
    <col min="1" max="1" width="7.7265625" bestFit="1" customWidth="1"/>
    <col min="2" max="2" width="14" bestFit="1" customWidth="1"/>
    <col min="3" max="3" width="6.26953125" bestFit="1" customWidth="1"/>
    <col min="4" max="4" width="12.453125" bestFit="1" customWidth="1"/>
    <col min="5" max="5" width="13.26953125" bestFit="1" customWidth="1"/>
    <col min="6" max="6" width="15.26953125" style="5" customWidth="1"/>
    <col min="7" max="7" width="12.453125" bestFit="1" customWidth="1"/>
    <col min="8" max="8" width="16.26953125" style="4" customWidth="1"/>
    <col min="9" max="9" width="13.26953125" customWidth="1"/>
    <col min="10" max="10" width="14.7265625" customWidth="1"/>
    <col min="11" max="11" width="12.453125" bestFit="1" customWidth="1"/>
  </cols>
  <sheetData>
    <row r="1" spans="1:11" ht="15.5" x14ac:dyDescent="0.35">
      <c r="A1" s="20" t="s">
        <v>0</v>
      </c>
      <c r="B1" s="21" t="s">
        <v>1</v>
      </c>
      <c r="C1" s="21" t="s">
        <v>2</v>
      </c>
      <c r="D1" s="21" t="s">
        <v>4</v>
      </c>
      <c r="E1" s="21" t="s">
        <v>3</v>
      </c>
      <c r="F1" s="22" t="s">
        <v>5</v>
      </c>
      <c r="G1" s="21" t="s">
        <v>6</v>
      </c>
      <c r="H1" s="23" t="s">
        <v>7</v>
      </c>
      <c r="I1" s="24" t="s">
        <v>19</v>
      </c>
    </row>
    <row r="2" spans="1:11" x14ac:dyDescent="0.35">
      <c r="A2" s="9">
        <v>0</v>
      </c>
      <c r="B2" s="10">
        <v>8794</v>
      </c>
      <c r="C2" s="10">
        <v>60</v>
      </c>
      <c r="D2" s="10" t="s">
        <v>25</v>
      </c>
      <c r="E2" s="10" t="s">
        <v>8</v>
      </c>
      <c r="F2" s="11">
        <v>34417</v>
      </c>
      <c r="G2" s="10">
        <v>30</v>
      </c>
      <c r="H2" s="12">
        <v>238668</v>
      </c>
      <c r="I2" s="13" t="str">
        <f>IF(C2&lt;30,"20-29",IF(C2&lt;40,"30-39",IF(C2&lt;50,"40-49",IF(C2&lt;60,"50-59","60+"))))</f>
        <v>60+</v>
      </c>
    </row>
    <row r="3" spans="1:11" x14ac:dyDescent="0.35">
      <c r="A3" s="9">
        <v>1</v>
      </c>
      <c r="B3" s="10">
        <v>8222</v>
      </c>
      <c r="C3" s="10">
        <v>28</v>
      </c>
      <c r="D3" s="10" t="s">
        <v>26</v>
      </c>
      <c r="E3" s="10" t="s">
        <v>9</v>
      </c>
      <c r="F3" s="11">
        <v>29197</v>
      </c>
      <c r="G3" s="10">
        <v>13</v>
      </c>
      <c r="H3" s="12">
        <v>105995</v>
      </c>
      <c r="I3" s="13" t="str">
        <f t="shared" ref="I3:I66" si="0">IF(C3&lt;30,"20-29",IF(C3&lt;40,"30-39",IF(C3&lt;50,"40-49",IF(C3&lt;60,"50-59","60+"))))</f>
        <v>20-29</v>
      </c>
    </row>
    <row r="4" spans="1:11" x14ac:dyDescent="0.35">
      <c r="A4" s="9">
        <v>2</v>
      </c>
      <c r="B4" s="10">
        <v>7643</v>
      </c>
      <c r="C4" s="10">
        <v>30</v>
      </c>
      <c r="D4" s="10" t="s">
        <v>25</v>
      </c>
      <c r="E4" s="10" t="s">
        <v>10</v>
      </c>
      <c r="F4" s="11">
        <v>36063</v>
      </c>
      <c r="G4" s="10">
        <v>11</v>
      </c>
      <c r="H4" s="12">
        <v>96120</v>
      </c>
      <c r="I4" s="13" t="str">
        <f t="shared" si="0"/>
        <v>30-39</v>
      </c>
    </row>
    <row r="5" spans="1:11" x14ac:dyDescent="0.35">
      <c r="A5" s="9">
        <v>3</v>
      </c>
      <c r="B5" s="10">
        <v>2737</v>
      </c>
      <c r="C5" s="10">
        <v>38</v>
      </c>
      <c r="D5" s="10" t="s">
        <v>26</v>
      </c>
      <c r="E5" s="10" t="s">
        <v>13</v>
      </c>
      <c r="F5" s="11">
        <v>40870</v>
      </c>
      <c r="G5" s="10">
        <v>20</v>
      </c>
      <c r="H5" s="12">
        <v>153525</v>
      </c>
      <c r="I5" s="13" t="str">
        <f t="shared" si="0"/>
        <v>30-39</v>
      </c>
      <c r="K5" s="4"/>
    </row>
    <row r="6" spans="1:11" x14ac:dyDescent="0.35">
      <c r="A6" s="9">
        <v>4</v>
      </c>
      <c r="B6" s="10">
        <v>8557</v>
      </c>
      <c r="C6" s="10">
        <v>61</v>
      </c>
      <c r="D6" s="10" t="s">
        <v>26</v>
      </c>
      <c r="E6" s="10" t="s">
        <v>13</v>
      </c>
      <c r="F6" s="11">
        <v>28041</v>
      </c>
      <c r="G6" s="10">
        <v>31</v>
      </c>
      <c r="H6" s="12">
        <v>249192</v>
      </c>
      <c r="I6" s="13" t="str">
        <f t="shared" si="0"/>
        <v>60+</v>
      </c>
    </row>
    <row r="7" spans="1:11" x14ac:dyDescent="0.35">
      <c r="A7" s="9">
        <v>5</v>
      </c>
      <c r="B7" s="10">
        <v>8484</v>
      </c>
      <c r="C7" s="10">
        <v>31</v>
      </c>
      <c r="D7" s="10" t="s">
        <v>25</v>
      </c>
      <c r="E7" s="10" t="s">
        <v>10</v>
      </c>
      <c r="F7" s="11">
        <v>30109</v>
      </c>
      <c r="G7" s="10">
        <v>14</v>
      </c>
      <c r="H7" s="12">
        <v>112443</v>
      </c>
      <c r="I7" s="13" t="str">
        <f t="shared" si="0"/>
        <v>30-39</v>
      </c>
    </row>
    <row r="8" spans="1:11" x14ac:dyDescent="0.35">
      <c r="A8" s="9">
        <v>6</v>
      </c>
      <c r="B8" s="10">
        <v>5854</v>
      </c>
      <c r="C8" s="10">
        <v>64</v>
      </c>
      <c r="D8" s="10" t="s">
        <v>25</v>
      </c>
      <c r="E8" s="10" t="s">
        <v>8</v>
      </c>
      <c r="F8" s="11">
        <v>29902</v>
      </c>
      <c r="G8" s="10">
        <v>33</v>
      </c>
      <c r="H8" s="12">
        <v>269150</v>
      </c>
      <c r="I8" s="13" t="str">
        <f t="shared" si="0"/>
        <v>60+</v>
      </c>
    </row>
    <row r="9" spans="1:11" x14ac:dyDescent="0.35">
      <c r="A9" s="9">
        <v>7</v>
      </c>
      <c r="B9" s="10">
        <v>6012</v>
      </c>
      <c r="C9" s="10">
        <v>33</v>
      </c>
      <c r="D9" s="10" t="s">
        <v>25</v>
      </c>
      <c r="E9" s="10" t="s">
        <v>8</v>
      </c>
      <c r="F9" s="11">
        <v>30587</v>
      </c>
      <c r="G9" s="10">
        <v>13</v>
      </c>
      <c r="H9" s="12">
        <v>99541</v>
      </c>
      <c r="I9" s="13" t="str">
        <f t="shared" si="0"/>
        <v>30-39</v>
      </c>
    </row>
    <row r="10" spans="1:11" x14ac:dyDescent="0.35">
      <c r="A10" s="9">
        <v>8</v>
      </c>
      <c r="B10" s="10">
        <v>7462</v>
      </c>
      <c r="C10" s="10">
        <v>34</v>
      </c>
      <c r="D10" s="10" t="s">
        <v>25</v>
      </c>
      <c r="E10" s="10" t="s">
        <v>8</v>
      </c>
      <c r="F10" s="11">
        <v>44218</v>
      </c>
      <c r="G10" s="10">
        <v>15</v>
      </c>
      <c r="H10" s="12">
        <v>119128</v>
      </c>
      <c r="I10" s="13" t="str">
        <f t="shared" si="0"/>
        <v>30-39</v>
      </c>
    </row>
    <row r="11" spans="1:11" x14ac:dyDescent="0.35">
      <c r="A11" s="9">
        <v>9</v>
      </c>
      <c r="B11" s="10">
        <v>7276</v>
      </c>
      <c r="C11" s="10">
        <v>23</v>
      </c>
      <c r="D11" s="10" t="s">
        <v>25</v>
      </c>
      <c r="E11" s="10" t="s">
        <v>8</v>
      </c>
      <c r="F11" s="11">
        <v>41915</v>
      </c>
      <c r="G11" s="10">
        <v>11</v>
      </c>
      <c r="H11" s="12">
        <v>83249</v>
      </c>
      <c r="I11" s="13" t="str">
        <f t="shared" si="0"/>
        <v>20-29</v>
      </c>
    </row>
    <row r="12" spans="1:11" x14ac:dyDescent="0.35">
      <c r="A12" s="9">
        <v>10</v>
      </c>
      <c r="B12" s="10">
        <v>6621</v>
      </c>
      <c r="C12" s="10">
        <v>51</v>
      </c>
      <c r="D12" s="10" t="s">
        <v>26</v>
      </c>
      <c r="E12" s="14" t="s">
        <v>14</v>
      </c>
      <c r="F12" s="11">
        <v>27100</v>
      </c>
      <c r="G12" s="10">
        <v>26</v>
      </c>
      <c r="H12" s="12">
        <v>201259</v>
      </c>
      <c r="I12" s="13" t="str">
        <f t="shared" si="0"/>
        <v>50-59</v>
      </c>
    </row>
    <row r="13" spans="1:11" x14ac:dyDescent="0.35">
      <c r="A13" s="9">
        <v>11</v>
      </c>
      <c r="B13" s="10">
        <v>7461</v>
      </c>
      <c r="C13" s="10">
        <v>43</v>
      </c>
      <c r="D13" s="10" t="s">
        <v>26</v>
      </c>
      <c r="E13" s="10" t="s">
        <v>14</v>
      </c>
      <c r="F13" s="11">
        <v>33397</v>
      </c>
      <c r="G13" s="10">
        <v>17</v>
      </c>
      <c r="H13" s="12">
        <v>144477</v>
      </c>
      <c r="I13" s="13" t="str">
        <f t="shared" si="0"/>
        <v>40-49</v>
      </c>
    </row>
    <row r="14" spans="1:11" x14ac:dyDescent="0.35">
      <c r="A14" s="9">
        <v>12</v>
      </c>
      <c r="B14" s="10">
        <v>4181</v>
      </c>
      <c r="C14" s="10">
        <v>33</v>
      </c>
      <c r="D14" s="10" t="s">
        <v>26</v>
      </c>
      <c r="E14" s="10" t="s">
        <v>8</v>
      </c>
      <c r="F14" s="11">
        <v>42116</v>
      </c>
      <c r="G14" s="10">
        <v>18</v>
      </c>
      <c r="H14" s="12">
        <v>148126</v>
      </c>
      <c r="I14" s="13" t="str">
        <f t="shared" si="0"/>
        <v>30-39</v>
      </c>
    </row>
    <row r="15" spans="1:11" x14ac:dyDescent="0.35">
      <c r="A15" s="9">
        <v>13</v>
      </c>
      <c r="B15" s="10">
        <v>9770</v>
      </c>
      <c r="C15" s="10">
        <v>64</v>
      </c>
      <c r="D15" s="10" t="s">
        <v>25</v>
      </c>
      <c r="E15" s="10" t="s">
        <v>10</v>
      </c>
      <c r="F15" s="11">
        <v>30901</v>
      </c>
      <c r="G15" s="10">
        <v>29</v>
      </c>
      <c r="H15" s="12">
        <v>237357</v>
      </c>
      <c r="I15" s="13" t="str">
        <f t="shared" si="0"/>
        <v>60+</v>
      </c>
    </row>
    <row r="16" spans="1:11" x14ac:dyDescent="0.35">
      <c r="A16" s="9">
        <v>14</v>
      </c>
      <c r="B16" s="10">
        <v>9138</v>
      </c>
      <c r="C16" s="10">
        <v>41</v>
      </c>
      <c r="D16" s="10" t="s">
        <v>26</v>
      </c>
      <c r="E16" s="10" t="s">
        <v>8</v>
      </c>
      <c r="F16" s="11">
        <v>38308</v>
      </c>
      <c r="G16" s="10">
        <v>19</v>
      </c>
      <c r="H16" s="12">
        <v>158446</v>
      </c>
      <c r="I16" s="13" t="str">
        <f t="shared" si="0"/>
        <v>40-49</v>
      </c>
    </row>
    <row r="17" spans="1:9" x14ac:dyDescent="0.35">
      <c r="A17" s="9">
        <v>15</v>
      </c>
      <c r="B17" s="10">
        <v>7182</v>
      </c>
      <c r="C17" s="10">
        <v>30</v>
      </c>
      <c r="D17" s="10" t="s">
        <v>26</v>
      </c>
      <c r="E17" s="10" t="s">
        <v>10</v>
      </c>
      <c r="F17" s="11">
        <v>30259</v>
      </c>
      <c r="G17" s="10">
        <v>15</v>
      </c>
      <c r="H17" s="12">
        <v>124601</v>
      </c>
      <c r="I17" s="13" t="str">
        <f t="shared" si="0"/>
        <v>30-39</v>
      </c>
    </row>
    <row r="18" spans="1:9" x14ac:dyDescent="0.35">
      <c r="A18" s="9">
        <v>16</v>
      </c>
      <c r="B18" s="10">
        <v>9901</v>
      </c>
      <c r="C18" s="10">
        <v>60</v>
      </c>
      <c r="D18" s="10" t="s">
        <v>26</v>
      </c>
      <c r="E18" s="10" t="s">
        <v>14</v>
      </c>
      <c r="F18" s="11">
        <v>36972</v>
      </c>
      <c r="G18" s="10">
        <v>27</v>
      </c>
      <c r="H18" s="12">
        <v>209673</v>
      </c>
      <c r="I18" s="13" t="str">
        <f t="shared" si="0"/>
        <v>60+</v>
      </c>
    </row>
    <row r="19" spans="1:9" x14ac:dyDescent="0.35">
      <c r="A19" s="9">
        <v>17</v>
      </c>
      <c r="B19" s="10">
        <v>9684</v>
      </c>
      <c r="C19" s="10">
        <v>25</v>
      </c>
      <c r="D19" s="10" t="s">
        <v>25</v>
      </c>
      <c r="E19" s="10" t="s">
        <v>8</v>
      </c>
      <c r="F19" s="11">
        <v>45253</v>
      </c>
      <c r="G19" s="10">
        <v>11</v>
      </c>
      <c r="H19" s="12">
        <v>88325</v>
      </c>
      <c r="I19" s="13" t="str">
        <f t="shared" si="0"/>
        <v>20-29</v>
      </c>
    </row>
    <row r="20" spans="1:9" x14ac:dyDescent="0.35">
      <c r="A20" s="9">
        <v>18</v>
      </c>
      <c r="B20" s="10">
        <v>6645</v>
      </c>
      <c r="C20" s="10">
        <v>30</v>
      </c>
      <c r="D20" s="10" t="s">
        <v>25</v>
      </c>
      <c r="E20" s="10" t="s">
        <v>10</v>
      </c>
      <c r="F20" s="11">
        <v>37378</v>
      </c>
      <c r="G20" s="10">
        <v>14</v>
      </c>
      <c r="H20" s="12">
        <v>117761</v>
      </c>
      <c r="I20" s="13" t="str">
        <f t="shared" si="0"/>
        <v>30-39</v>
      </c>
    </row>
    <row r="21" spans="1:9" x14ac:dyDescent="0.35">
      <c r="A21" s="9">
        <v>19</v>
      </c>
      <c r="B21" s="10">
        <v>4049</v>
      </c>
      <c r="C21" s="10">
        <v>45</v>
      </c>
      <c r="D21" s="10" t="s">
        <v>26</v>
      </c>
      <c r="E21" s="10" t="s">
        <v>14</v>
      </c>
      <c r="F21" s="11">
        <v>33886</v>
      </c>
      <c r="G21" s="10">
        <v>24</v>
      </c>
      <c r="H21" s="12">
        <v>193695</v>
      </c>
      <c r="I21" s="13" t="str">
        <f t="shared" si="0"/>
        <v>40-49</v>
      </c>
    </row>
    <row r="22" spans="1:9" x14ac:dyDescent="0.35">
      <c r="A22" s="9">
        <v>20</v>
      </c>
      <c r="B22" s="10">
        <v>7857</v>
      </c>
      <c r="C22" s="10">
        <v>56</v>
      </c>
      <c r="D22" s="10" t="s">
        <v>26</v>
      </c>
      <c r="E22" s="10" t="s">
        <v>8</v>
      </c>
      <c r="F22" s="11">
        <v>26797</v>
      </c>
      <c r="G22" s="10">
        <v>27</v>
      </c>
      <c r="H22" s="12">
        <v>223718</v>
      </c>
      <c r="I22" s="13" t="str">
        <f t="shared" si="0"/>
        <v>50-59</v>
      </c>
    </row>
    <row r="23" spans="1:9" x14ac:dyDescent="0.35">
      <c r="A23" s="9">
        <v>21</v>
      </c>
      <c r="B23" s="10">
        <v>3757</v>
      </c>
      <c r="C23" s="10">
        <v>32</v>
      </c>
      <c r="D23" s="10" t="s">
        <v>26</v>
      </c>
      <c r="E23" s="10" t="s">
        <v>8</v>
      </c>
      <c r="F23" s="11">
        <v>40117</v>
      </c>
      <c r="G23" s="10">
        <v>16</v>
      </c>
      <c r="H23" s="12">
        <v>136877</v>
      </c>
      <c r="I23" s="13" t="str">
        <f t="shared" si="0"/>
        <v>30-39</v>
      </c>
    </row>
    <row r="24" spans="1:9" x14ac:dyDescent="0.35">
      <c r="A24" s="9">
        <v>22</v>
      </c>
      <c r="B24" s="10">
        <v>9062</v>
      </c>
      <c r="C24" s="10">
        <v>49</v>
      </c>
      <c r="D24" s="10" t="s">
        <v>26</v>
      </c>
      <c r="E24" s="10" t="s">
        <v>9</v>
      </c>
      <c r="F24" s="11">
        <v>41484</v>
      </c>
      <c r="G24" s="10">
        <v>24</v>
      </c>
      <c r="H24" s="12">
        <v>201355</v>
      </c>
      <c r="I24" s="13" t="str">
        <f t="shared" si="0"/>
        <v>40-49</v>
      </c>
    </row>
    <row r="25" spans="1:9" x14ac:dyDescent="0.35">
      <c r="A25" s="9">
        <v>23</v>
      </c>
      <c r="B25" s="10">
        <v>4459</v>
      </c>
      <c r="C25" s="10">
        <v>52</v>
      </c>
      <c r="D25" s="10" t="s">
        <v>25</v>
      </c>
      <c r="E25" s="10" t="s">
        <v>13</v>
      </c>
      <c r="F25" s="11">
        <v>41802</v>
      </c>
      <c r="G25" s="10">
        <v>25</v>
      </c>
      <c r="H25" s="12">
        <v>197155</v>
      </c>
      <c r="I25" s="13" t="str">
        <f t="shared" si="0"/>
        <v>50-59</v>
      </c>
    </row>
    <row r="26" spans="1:9" x14ac:dyDescent="0.35">
      <c r="A26" s="9">
        <v>24</v>
      </c>
      <c r="B26" s="10">
        <v>2444</v>
      </c>
      <c r="C26" s="10">
        <v>43</v>
      </c>
      <c r="D26" s="10" t="s">
        <v>26</v>
      </c>
      <c r="E26" s="10" t="s">
        <v>14</v>
      </c>
      <c r="F26" s="11">
        <v>31091</v>
      </c>
      <c r="G26" s="10">
        <v>22</v>
      </c>
      <c r="H26" s="12">
        <v>181254</v>
      </c>
      <c r="I26" s="13" t="str">
        <f t="shared" si="0"/>
        <v>40-49</v>
      </c>
    </row>
    <row r="27" spans="1:9" x14ac:dyDescent="0.35">
      <c r="A27" s="9">
        <v>25</v>
      </c>
      <c r="B27" s="10">
        <v>3005</v>
      </c>
      <c r="C27" s="10">
        <v>56</v>
      </c>
      <c r="D27" s="10" t="s">
        <v>26</v>
      </c>
      <c r="E27" s="10" t="s">
        <v>9</v>
      </c>
      <c r="F27" s="11">
        <v>39885</v>
      </c>
      <c r="G27" s="10">
        <v>24</v>
      </c>
      <c r="H27" s="12">
        <v>197009</v>
      </c>
      <c r="I27" s="13" t="str">
        <f t="shared" si="0"/>
        <v>50-59</v>
      </c>
    </row>
    <row r="28" spans="1:9" x14ac:dyDescent="0.35">
      <c r="A28" s="9">
        <v>26</v>
      </c>
      <c r="B28" s="10">
        <v>6797</v>
      </c>
      <c r="C28" s="10">
        <v>47</v>
      </c>
      <c r="D28" s="10" t="s">
        <v>26</v>
      </c>
      <c r="E28" s="10" t="s">
        <v>14</v>
      </c>
      <c r="F28" s="11">
        <v>35144</v>
      </c>
      <c r="G28" s="10">
        <v>26</v>
      </c>
      <c r="H28" s="12">
        <v>201648</v>
      </c>
      <c r="I28" s="13" t="str">
        <f t="shared" si="0"/>
        <v>40-49</v>
      </c>
    </row>
    <row r="29" spans="1:9" x14ac:dyDescent="0.35">
      <c r="A29" s="9">
        <v>27</v>
      </c>
      <c r="B29" s="10">
        <v>5040</v>
      </c>
      <c r="C29" s="10">
        <v>37</v>
      </c>
      <c r="D29" s="10" t="s">
        <v>26</v>
      </c>
      <c r="E29" s="10" t="s">
        <v>13</v>
      </c>
      <c r="F29" s="11">
        <v>26342</v>
      </c>
      <c r="G29" s="10">
        <v>22</v>
      </c>
      <c r="H29" s="12">
        <v>186028</v>
      </c>
      <c r="I29" s="13" t="str">
        <f t="shared" si="0"/>
        <v>30-39</v>
      </c>
    </row>
    <row r="30" spans="1:9" x14ac:dyDescent="0.35">
      <c r="A30" s="9">
        <v>28</v>
      </c>
      <c r="B30" s="10">
        <v>9477</v>
      </c>
      <c r="C30" s="10">
        <v>54</v>
      </c>
      <c r="D30" s="10" t="s">
        <v>26</v>
      </c>
      <c r="E30" s="10" t="s">
        <v>14</v>
      </c>
      <c r="F30" s="11">
        <v>39517</v>
      </c>
      <c r="G30" s="10">
        <v>26</v>
      </c>
      <c r="H30" s="12">
        <v>201094</v>
      </c>
      <c r="I30" s="13" t="str">
        <f t="shared" si="0"/>
        <v>50-59</v>
      </c>
    </row>
    <row r="31" spans="1:9" x14ac:dyDescent="0.35">
      <c r="A31" s="9">
        <v>29</v>
      </c>
      <c r="B31" s="10">
        <v>3555</v>
      </c>
      <c r="C31" s="10">
        <v>48</v>
      </c>
      <c r="D31" s="10" t="s">
        <v>26</v>
      </c>
      <c r="E31" s="10" t="s">
        <v>9</v>
      </c>
      <c r="F31" s="11">
        <v>29403</v>
      </c>
      <c r="G31" s="10">
        <v>25</v>
      </c>
      <c r="H31" s="12">
        <v>192419</v>
      </c>
      <c r="I31" s="13" t="str">
        <f t="shared" si="0"/>
        <v>40-49</v>
      </c>
    </row>
    <row r="32" spans="1:9" x14ac:dyDescent="0.35">
      <c r="A32" s="9">
        <v>30</v>
      </c>
      <c r="B32" s="10">
        <v>3490</v>
      </c>
      <c r="C32" s="10">
        <v>28</v>
      </c>
      <c r="D32" s="10" t="s">
        <v>26</v>
      </c>
      <c r="E32" s="10" t="s">
        <v>14</v>
      </c>
      <c r="F32" s="11">
        <v>38232</v>
      </c>
      <c r="G32" s="10">
        <v>13</v>
      </c>
      <c r="H32" s="12">
        <v>103102</v>
      </c>
      <c r="I32" s="13" t="str">
        <f t="shared" si="0"/>
        <v>20-29</v>
      </c>
    </row>
    <row r="33" spans="1:9" x14ac:dyDescent="0.35">
      <c r="A33" s="9">
        <v>31</v>
      </c>
      <c r="B33" s="10">
        <v>3637</v>
      </c>
      <c r="C33" s="10">
        <v>62</v>
      </c>
      <c r="D33" s="10" t="s">
        <v>26</v>
      </c>
      <c r="E33" s="10" t="s">
        <v>10</v>
      </c>
      <c r="F33" s="11">
        <v>27772</v>
      </c>
      <c r="G33" s="10">
        <v>31</v>
      </c>
      <c r="H33" s="12">
        <v>248038</v>
      </c>
      <c r="I33" s="13" t="str">
        <f t="shared" si="0"/>
        <v>60+</v>
      </c>
    </row>
    <row r="34" spans="1:9" x14ac:dyDescent="0.35">
      <c r="A34" s="9">
        <v>32</v>
      </c>
      <c r="B34" s="10">
        <v>9629</v>
      </c>
      <c r="C34" s="10">
        <v>44</v>
      </c>
      <c r="D34" s="10" t="s">
        <v>26</v>
      </c>
      <c r="E34" s="10" t="s">
        <v>10</v>
      </c>
      <c r="F34" s="11">
        <v>34537</v>
      </c>
      <c r="G34" s="10">
        <v>22</v>
      </c>
      <c r="H34" s="12">
        <v>178656</v>
      </c>
      <c r="I34" s="13" t="str">
        <f t="shared" si="0"/>
        <v>40-49</v>
      </c>
    </row>
    <row r="35" spans="1:9" x14ac:dyDescent="0.35">
      <c r="A35" s="9">
        <v>33</v>
      </c>
      <c r="B35" s="10">
        <v>6809</v>
      </c>
      <c r="C35" s="10">
        <v>40</v>
      </c>
      <c r="D35" s="10" t="s">
        <v>26</v>
      </c>
      <c r="E35" s="10" t="s">
        <v>14</v>
      </c>
      <c r="F35" s="11">
        <v>27981</v>
      </c>
      <c r="G35" s="10">
        <v>19</v>
      </c>
      <c r="H35" s="12">
        <v>149831</v>
      </c>
      <c r="I35" s="13" t="str">
        <f t="shared" si="0"/>
        <v>40-49</v>
      </c>
    </row>
    <row r="36" spans="1:9" x14ac:dyDescent="0.35">
      <c r="A36" s="9">
        <v>34</v>
      </c>
      <c r="B36" s="10">
        <v>8660</v>
      </c>
      <c r="C36" s="10">
        <v>34</v>
      </c>
      <c r="D36" s="10" t="s">
        <v>26</v>
      </c>
      <c r="E36" s="10" t="s">
        <v>13</v>
      </c>
      <c r="F36" s="11">
        <v>43527</v>
      </c>
      <c r="G36" s="10">
        <v>17</v>
      </c>
      <c r="H36" s="12">
        <v>137180</v>
      </c>
      <c r="I36" s="13" t="str">
        <f t="shared" si="0"/>
        <v>30-39</v>
      </c>
    </row>
    <row r="37" spans="1:9" x14ac:dyDescent="0.35">
      <c r="A37" s="9">
        <v>35</v>
      </c>
      <c r="B37" s="10">
        <v>3840</v>
      </c>
      <c r="C37" s="10">
        <v>45</v>
      </c>
      <c r="D37" s="10" t="s">
        <v>26</v>
      </c>
      <c r="E37" s="10" t="s">
        <v>9</v>
      </c>
      <c r="F37" s="11">
        <v>26618</v>
      </c>
      <c r="G37" s="10">
        <v>22</v>
      </c>
      <c r="H37" s="12">
        <v>173071</v>
      </c>
      <c r="I37" s="13" t="str">
        <f t="shared" si="0"/>
        <v>40-49</v>
      </c>
    </row>
    <row r="38" spans="1:9" x14ac:dyDescent="0.35">
      <c r="A38" s="9">
        <v>36</v>
      </c>
      <c r="B38" s="10">
        <v>8354</v>
      </c>
      <c r="C38" s="10">
        <v>45</v>
      </c>
      <c r="D38" s="10" t="s">
        <v>25</v>
      </c>
      <c r="E38" s="10" t="s">
        <v>8</v>
      </c>
      <c r="F38" s="11">
        <v>26204</v>
      </c>
      <c r="G38" s="10">
        <v>22</v>
      </c>
      <c r="H38" s="12">
        <v>177939</v>
      </c>
      <c r="I38" s="13" t="str">
        <f t="shared" si="0"/>
        <v>40-49</v>
      </c>
    </row>
    <row r="39" spans="1:9" x14ac:dyDescent="0.35">
      <c r="A39" s="9">
        <v>37</v>
      </c>
      <c r="B39" s="10">
        <v>9487</v>
      </c>
      <c r="C39" s="10">
        <v>37</v>
      </c>
      <c r="D39" s="10" t="s">
        <v>25</v>
      </c>
      <c r="E39" s="10" t="s">
        <v>9</v>
      </c>
      <c r="F39" s="11">
        <v>45510</v>
      </c>
      <c r="G39" s="10">
        <v>14</v>
      </c>
      <c r="H39" s="12">
        <v>115812</v>
      </c>
      <c r="I39" s="13" t="str">
        <f t="shared" si="0"/>
        <v>30-39</v>
      </c>
    </row>
    <row r="40" spans="1:9" x14ac:dyDescent="0.35">
      <c r="A40" s="9">
        <v>38</v>
      </c>
      <c r="B40" s="10">
        <v>1501</v>
      </c>
      <c r="C40" s="10">
        <v>47</v>
      </c>
      <c r="D40" s="10" t="s">
        <v>26</v>
      </c>
      <c r="E40" s="10" t="s">
        <v>10</v>
      </c>
      <c r="F40" s="11">
        <v>32403</v>
      </c>
      <c r="G40" s="10">
        <v>21</v>
      </c>
      <c r="H40" s="12">
        <v>159633</v>
      </c>
      <c r="I40" s="13" t="str">
        <f t="shared" si="0"/>
        <v>40-49</v>
      </c>
    </row>
    <row r="41" spans="1:9" x14ac:dyDescent="0.35">
      <c r="A41" s="9">
        <v>39</v>
      </c>
      <c r="B41" s="10">
        <v>3766</v>
      </c>
      <c r="C41" s="10">
        <v>30</v>
      </c>
      <c r="D41" s="10" t="s">
        <v>26</v>
      </c>
      <c r="E41" s="10" t="s">
        <v>10</v>
      </c>
      <c r="F41" s="11">
        <v>28299</v>
      </c>
      <c r="G41" s="10">
        <v>16</v>
      </c>
      <c r="H41" s="12">
        <v>132927</v>
      </c>
      <c r="I41" s="13" t="str">
        <f t="shared" si="0"/>
        <v>30-39</v>
      </c>
    </row>
    <row r="42" spans="1:9" x14ac:dyDescent="0.35">
      <c r="A42" s="9">
        <v>40</v>
      </c>
      <c r="B42" s="10">
        <v>6867</v>
      </c>
      <c r="C42" s="10">
        <v>47</v>
      </c>
      <c r="D42" s="10" t="s">
        <v>25</v>
      </c>
      <c r="E42" s="10" t="s">
        <v>9</v>
      </c>
      <c r="F42" s="11">
        <v>39670</v>
      </c>
      <c r="G42" s="10">
        <v>26</v>
      </c>
      <c r="H42" s="12">
        <v>208357</v>
      </c>
      <c r="I42" s="13" t="str">
        <f t="shared" si="0"/>
        <v>40-49</v>
      </c>
    </row>
    <row r="43" spans="1:9" x14ac:dyDescent="0.35">
      <c r="A43" s="9">
        <v>41</v>
      </c>
      <c r="B43" s="10">
        <v>3272</v>
      </c>
      <c r="C43" s="10">
        <v>22</v>
      </c>
      <c r="D43" s="10" t="s">
        <v>26</v>
      </c>
      <c r="E43" s="10" t="s">
        <v>9</v>
      </c>
      <c r="F43" s="11">
        <v>34593</v>
      </c>
      <c r="G43" s="10">
        <v>12</v>
      </c>
      <c r="H43" s="12">
        <v>98088</v>
      </c>
      <c r="I43" s="13" t="str">
        <f t="shared" si="0"/>
        <v>20-29</v>
      </c>
    </row>
    <row r="44" spans="1:9" x14ac:dyDescent="0.35">
      <c r="A44" s="9">
        <v>42</v>
      </c>
      <c r="B44" s="10">
        <v>9299</v>
      </c>
      <c r="C44" s="10">
        <v>45</v>
      </c>
      <c r="D44" s="10" t="s">
        <v>25</v>
      </c>
      <c r="E44" s="10" t="s">
        <v>9</v>
      </c>
      <c r="F44" s="11">
        <v>44231</v>
      </c>
      <c r="G44" s="10">
        <v>20</v>
      </c>
      <c r="H44" s="12">
        <v>162526</v>
      </c>
      <c r="I44" s="13" t="str">
        <f t="shared" si="0"/>
        <v>40-49</v>
      </c>
    </row>
    <row r="45" spans="1:9" x14ac:dyDescent="0.35">
      <c r="A45" s="9">
        <v>43</v>
      </c>
      <c r="B45" s="10">
        <v>3681</v>
      </c>
      <c r="C45" s="10">
        <v>48</v>
      </c>
      <c r="D45" s="10" t="s">
        <v>26</v>
      </c>
      <c r="E45" s="10" t="s">
        <v>8</v>
      </c>
      <c r="F45" s="11">
        <v>27080</v>
      </c>
      <c r="G45" s="10">
        <v>23</v>
      </c>
      <c r="H45" s="12">
        <v>182251</v>
      </c>
      <c r="I45" s="13" t="str">
        <f t="shared" si="0"/>
        <v>40-49</v>
      </c>
    </row>
    <row r="46" spans="1:9" x14ac:dyDescent="0.35">
      <c r="A46" s="9">
        <v>44</v>
      </c>
      <c r="B46" s="10">
        <v>1311</v>
      </c>
      <c r="C46" s="10">
        <v>51</v>
      </c>
      <c r="D46" s="10" t="s">
        <v>26</v>
      </c>
      <c r="E46" s="10" t="s">
        <v>9</v>
      </c>
      <c r="F46" s="11">
        <v>44672</v>
      </c>
      <c r="G46" s="10">
        <v>27</v>
      </c>
      <c r="H46" s="12">
        <v>222715</v>
      </c>
      <c r="I46" s="13" t="str">
        <f t="shared" si="0"/>
        <v>50-59</v>
      </c>
    </row>
    <row r="47" spans="1:9" x14ac:dyDescent="0.35">
      <c r="A47" s="9">
        <v>45</v>
      </c>
      <c r="B47" s="10">
        <v>7563</v>
      </c>
      <c r="C47" s="10">
        <v>31</v>
      </c>
      <c r="D47" s="10" t="s">
        <v>25</v>
      </c>
      <c r="E47" s="10" t="s">
        <v>8</v>
      </c>
      <c r="F47" s="11">
        <v>29962</v>
      </c>
      <c r="G47" s="10">
        <v>17</v>
      </c>
      <c r="H47" s="12">
        <v>133435</v>
      </c>
      <c r="I47" s="13" t="str">
        <f t="shared" si="0"/>
        <v>30-39</v>
      </c>
    </row>
    <row r="48" spans="1:9" x14ac:dyDescent="0.35">
      <c r="A48" s="9">
        <v>46</v>
      </c>
      <c r="B48" s="10">
        <v>1977</v>
      </c>
      <c r="C48" s="10">
        <v>38</v>
      </c>
      <c r="D48" s="10" t="s">
        <v>25</v>
      </c>
      <c r="E48" s="10" t="s">
        <v>8</v>
      </c>
      <c r="F48" s="11">
        <v>43596</v>
      </c>
      <c r="G48" s="10">
        <v>18</v>
      </c>
      <c r="H48" s="12">
        <v>130398</v>
      </c>
      <c r="I48" s="13" t="str">
        <f t="shared" si="0"/>
        <v>30-39</v>
      </c>
    </row>
    <row r="49" spans="1:9" x14ac:dyDescent="0.35">
      <c r="A49" s="9">
        <v>47</v>
      </c>
      <c r="B49" s="10">
        <v>2765</v>
      </c>
      <c r="C49" s="10">
        <v>40</v>
      </c>
      <c r="D49" s="10" t="s">
        <v>26</v>
      </c>
      <c r="E49" s="10" t="s">
        <v>9</v>
      </c>
      <c r="F49" s="11">
        <v>36539</v>
      </c>
      <c r="G49" s="10">
        <v>21</v>
      </c>
      <c r="H49" s="12">
        <v>164496</v>
      </c>
      <c r="I49" s="13" t="str">
        <f t="shared" si="0"/>
        <v>40-49</v>
      </c>
    </row>
    <row r="50" spans="1:9" x14ac:dyDescent="0.35">
      <c r="A50" s="9">
        <v>48</v>
      </c>
      <c r="B50" s="10">
        <v>1385</v>
      </c>
      <c r="C50" s="10">
        <v>42</v>
      </c>
      <c r="D50" s="10" t="s">
        <v>25</v>
      </c>
      <c r="E50" s="10" t="s">
        <v>8</v>
      </c>
      <c r="F50" s="11">
        <v>38961</v>
      </c>
      <c r="G50" s="10">
        <v>19</v>
      </c>
      <c r="H50" s="12">
        <v>158595</v>
      </c>
      <c r="I50" s="13" t="str">
        <f t="shared" si="0"/>
        <v>40-49</v>
      </c>
    </row>
    <row r="51" spans="1:9" x14ac:dyDescent="0.35">
      <c r="A51" s="9">
        <v>49</v>
      </c>
      <c r="B51" s="10">
        <v>4113</v>
      </c>
      <c r="C51" s="10">
        <v>64</v>
      </c>
      <c r="D51" s="10" t="s">
        <v>25</v>
      </c>
      <c r="E51" s="10" t="s">
        <v>10</v>
      </c>
      <c r="F51" s="11">
        <v>41069</v>
      </c>
      <c r="G51" s="10">
        <v>30</v>
      </c>
      <c r="H51" s="12">
        <v>236259</v>
      </c>
      <c r="I51" s="13" t="str">
        <f t="shared" si="0"/>
        <v>60+</v>
      </c>
    </row>
    <row r="52" spans="1:9" x14ac:dyDescent="0.35">
      <c r="A52" s="9">
        <v>50</v>
      </c>
      <c r="B52" s="10">
        <v>8791</v>
      </c>
      <c r="C52" s="10">
        <v>50</v>
      </c>
      <c r="D52" s="10" t="s">
        <v>26</v>
      </c>
      <c r="E52" s="10" t="s">
        <v>9</v>
      </c>
      <c r="F52" s="11">
        <v>27499</v>
      </c>
      <c r="G52" s="10">
        <v>22</v>
      </c>
      <c r="H52" s="12">
        <v>174905</v>
      </c>
      <c r="I52" s="13" t="str">
        <f t="shared" si="0"/>
        <v>50-59</v>
      </c>
    </row>
    <row r="53" spans="1:9" x14ac:dyDescent="0.35">
      <c r="A53" s="9">
        <v>51</v>
      </c>
      <c r="B53" s="10">
        <v>7925</v>
      </c>
      <c r="C53" s="10">
        <v>44</v>
      </c>
      <c r="D53" s="10" t="s">
        <v>25</v>
      </c>
      <c r="E53" s="10" t="s">
        <v>13</v>
      </c>
      <c r="F53" s="11">
        <v>34686</v>
      </c>
      <c r="G53" s="10">
        <v>21</v>
      </c>
      <c r="H53" s="12">
        <v>161581</v>
      </c>
      <c r="I53" s="13" t="str">
        <f t="shared" si="0"/>
        <v>40-49</v>
      </c>
    </row>
    <row r="54" spans="1:9" x14ac:dyDescent="0.35">
      <c r="A54" s="9">
        <v>52</v>
      </c>
      <c r="B54" s="10">
        <v>9867</v>
      </c>
      <c r="C54" s="10">
        <v>50</v>
      </c>
      <c r="D54" s="10" t="s">
        <v>26</v>
      </c>
      <c r="E54" s="10" t="s">
        <v>14</v>
      </c>
      <c r="F54" s="11">
        <v>32072</v>
      </c>
      <c r="G54" s="10">
        <v>27</v>
      </c>
      <c r="H54" s="12">
        <v>210865</v>
      </c>
      <c r="I54" s="13" t="str">
        <f t="shared" si="0"/>
        <v>50-59</v>
      </c>
    </row>
    <row r="55" spans="1:9" x14ac:dyDescent="0.35">
      <c r="A55" s="9">
        <v>53</v>
      </c>
      <c r="B55" s="10">
        <v>3086</v>
      </c>
      <c r="C55" s="10">
        <v>46</v>
      </c>
      <c r="D55" s="10" t="s">
        <v>26</v>
      </c>
      <c r="E55" s="10" t="s">
        <v>14</v>
      </c>
      <c r="F55" s="11">
        <v>43869</v>
      </c>
      <c r="G55" s="10">
        <v>23</v>
      </c>
      <c r="H55" s="12">
        <v>187209</v>
      </c>
      <c r="I55" s="13" t="str">
        <f t="shared" si="0"/>
        <v>40-49</v>
      </c>
    </row>
    <row r="56" spans="1:9" x14ac:dyDescent="0.35">
      <c r="A56" s="9">
        <v>54</v>
      </c>
      <c r="B56" s="10">
        <v>2797</v>
      </c>
      <c r="C56" s="10">
        <v>51</v>
      </c>
      <c r="D56" s="10" t="s">
        <v>26</v>
      </c>
      <c r="E56" s="10" t="s">
        <v>14</v>
      </c>
      <c r="F56" s="11">
        <v>41585</v>
      </c>
      <c r="G56" s="10">
        <v>27</v>
      </c>
      <c r="H56" s="12">
        <v>216483</v>
      </c>
      <c r="I56" s="13" t="str">
        <f t="shared" si="0"/>
        <v>50-59</v>
      </c>
    </row>
    <row r="57" spans="1:9" x14ac:dyDescent="0.35">
      <c r="A57" s="9">
        <v>55</v>
      </c>
      <c r="B57" s="10">
        <v>2514</v>
      </c>
      <c r="C57" s="10">
        <v>63</v>
      </c>
      <c r="D57" s="10" t="s">
        <v>25</v>
      </c>
      <c r="E57" s="10" t="s">
        <v>14</v>
      </c>
      <c r="F57" s="11">
        <v>37692</v>
      </c>
      <c r="G57" s="10">
        <v>31</v>
      </c>
      <c r="H57" s="12">
        <v>241732</v>
      </c>
      <c r="I57" s="13" t="str">
        <f t="shared" si="0"/>
        <v>60+</v>
      </c>
    </row>
    <row r="58" spans="1:9" x14ac:dyDescent="0.35">
      <c r="A58" s="9">
        <v>56</v>
      </c>
      <c r="B58" s="10">
        <v>5404</v>
      </c>
      <c r="C58" s="10">
        <v>22</v>
      </c>
      <c r="D58" s="10" t="s">
        <v>26</v>
      </c>
      <c r="E58" s="10" t="s">
        <v>14</v>
      </c>
      <c r="F58" s="11">
        <v>27170</v>
      </c>
      <c r="G58" s="10">
        <v>13</v>
      </c>
      <c r="H58" s="12">
        <v>100085</v>
      </c>
      <c r="I58" s="13" t="str">
        <f t="shared" si="0"/>
        <v>20-29</v>
      </c>
    </row>
    <row r="59" spans="1:9" x14ac:dyDescent="0.35">
      <c r="A59" s="9">
        <v>57</v>
      </c>
      <c r="B59" s="10">
        <v>7609</v>
      </c>
      <c r="C59" s="10">
        <v>48</v>
      </c>
      <c r="D59" s="10" t="s">
        <v>25</v>
      </c>
      <c r="E59" s="10" t="s">
        <v>13</v>
      </c>
      <c r="F59" s="11">
        <v>32974</v>
      </c>
      <c r="G59" s="10">
        <v>24</v>
      </c>
      <c r="H59" s="12">
        <v>196599</v>
      </c>
      <c r="I59" s="13" t="str">
        <f t="shared" si="0"/>
        <v>40-49</v>
      </c>
    </row>
    <row r="60" spans="1:9" x14ac:dyDescent="0.35">
      <c r="A60" s="9">
        <v>58</v>
      </c>
      <c r="B60" s="10">
        <v>4788</v>
      </c>
      <c r="C60" s="10">
        <v>53</v>
      </c>
      <c r="D60" s="10" t="s">
        <v>25</v>
      </c>
      <c r="E60" s="10" t="s">
        <v>9</v>
      </c>
      <c r="F60" s="11">
        <v>31948</v>
      </c>
      <c r="G60" s="10">
        <v>25</v>
      </c>
      <c r="H60" s="12">
        <v>203758</v>
      </c>
      <c r="I60" s="13" t="str">
        <f t="shared" si="0"/>
        <v>50-59</v>
      </c>
    </row>
    <row r="61" spans="1:9" x14ac:dyDescent="0.35">
      <c r="A61" s="9">
        <v>59</v>
      </c>
      <c r="B61" s="10">
        <v>1607</v>
      </c>
      <c r="C61" s="10">
        <v>59</v>
      </c>
      <c r="D61" s="10" t="s">
        <v>26</v>
      </c>
      <c r="E61" s="10" t="s">
        <v>14</v>
      </c>
      <c r="F61" s="11">
        <v>28052</v>
      </c>
      <c r="G61" s="10">
        <v>32</v>
      </c>
      <c r="H61" s="12">
        <v>254771</v>
      </c>
      <c r="I61" s="13" t="str">
        <f t="shared" si="0"/>
        <v>50-59</v>
      </c>
    </row>
    <row r="62" spans="1:9" x14ac:dyDescent="0.35">
      <c r="A62" s="9">
        <v>60</v>
      </c>
      <c r="B62" s="10">
        <v>4605</v>
      </c>
      <c r="C62" s="10">
        <v>53</v>
      </c>
      <c r="D62" s="10" t="s">
        <v>26</v>
      </c>
      <c r="E62" s="10" t="s">
        <v>8</v>
      </c>
      <c r="F62" s="11">
        <v>39709</v>
      </c>
      <c r="G62" s="10">
        <v>28</v>
      </c>
      <c r="H62" s="12">
        <v>221350</v>
      </c>
      <c r="I62" s="13" t="str">
        <f t="shared" si="0"/>
        <v>50-59</v>
      </c>
    </row>
    <row r="63" spans="1:9" x14ac:dyDescent="0.35">
      <c r="A63" s="9">
        <v>61</v>
      </c>
      <c r="B63" s="10">
        <v>9897</v>
      </c>
      <c r="C63" s="10">
        <v>60</v>
      </c>
      <c r="D63" s="10" t="s">
        <v>25</v>
      </c>
      <c r="E63" s="10" t="s">
        <v>8</v>
      </c>
      <c r="F63" s="11">
        <v>38220</v>
      </c>
      <c r="G63" s="10">
        <v>28</v>
      </c>
      <c r="H63" s="12">
        <v>227840</v>
      </c>
      <c r="I63" s="13" t="str">
        <f t="shared" si="0"/>
        <v>60+</v>
      </c>
    </row>
    <row r="64" spans="1:9" x14ac:dyDescent="0.35">
      <c r="A64" s="9">
        <v>62</v>
      </c>
      <c r="B64" s="10">
        <v>6593</v>
      </c>
      <c r="C64" s="10">
        <v>30</v>
      </c>
      <c r="D64" s="10" t="s">
        <v>25</v>
      </c>
      <c r="E64" s="10" t="s">
        <v>8</v>
      </c>
      <c r="F64" s="11">
        <v>39715</v>
      </c>
      <c r="G64" s="10">
        <v>15</v>
      </c>
      <c r="H64" s="12">
        <v>118126</v>
      </c>
      <c r="I64" s="13" t="str">
        <f t="shared" si="0"/>
        <v>30-39</v>
      </c>
    </row>
    <row r="65" spans="1:9" x14ac:dyDescent="0.35">
      <c r="A65" s="9">
        <v>63</v>
      </c>
      <c r="B65" s="10">
        <v>2340</v>
      </c>
      <c r="C65" s="10">
        <v>32</v>
      </c>
      <c r="D65" s="10" t="s">
        <v>25</v>
      </c>
      <c r="E65" s="10" t="s">
        <v>9</v>
      </c>
      <c r="F65" s="11">
        <v>27851</v>
      </c>
      <c r="G65" s="10">
        <v>15</v>
      </c>
      <c r="H65" s="12">
        <v>124811</v>
      </c>
      <c r="I65" s="13" t="str">
        <f t="shared" si="0"/>
        <v>30-39</v>
      </c>
    </row>
    <row r="66" spans="1:9" x14ac:dyDescent="0.35">
      <c r="A66" s="9">
        <v>64</v>
      </c>
      <c r="B66" s="10">
        <v>5328</v>
      </c>
      <c r="C66" s="10">
        <v>34</v>
      </c>
      <c r="D66" s="10" t="s">
        <v>25</v>
      </c>
      <c r="E66" s="10" t="s">
        <v>14</v>
      </c>
      <c r="F66" s="11">
        <v>38528</v>
      </c>
      <c r="G66" s="10">
        <v>17</v>
      </c>
      <c r="H66" s="12">
        <v>138134</v>
      </c>
      <c r="I66" s="13" t="str">
        <f t="shared" si="0"/>
        <v>30-39</v>
      </c>
    </row>
    <row r="67" spans="1:9" x14ac:dyDescent="0.35">
      <c r="A67" s="9">
        <v>65</v>
      </c>
      <c r="B67" s="10">
        <v>5037</v>
      </c>
      <c r="C67" s="10">
        <v>36</v>
      </c>
      <c r="D67" s="10" t="s">
        <v>25</v>
      </c>
      <c r="E67" s="10" t="s">
        <v>8</v>
      </c>
      <c r="F67" s="11">
        <v>36671</v>
      </c>
      <c r="G67" s="10">
        <v>16</v>
      </c>
      <c r="H67" s="12">
        <v>127124</v>
      </c>
      <c r="I67" s="13" t="str">
        <f t="shared" ref="I67:I130" si="1">IF(C67&lt;30,"20-29",IF(C67&lt;40,"30-39",IF(C67&lt;50,"40-49",IF(C67&lt;60,"50-59","60+"))))</f>
        <v>30-39</v>
      </c>
    </row>
    <row r="68" spans="1:9" x14ac:dyDescent="0.35">
      <c r="A68" s="9">
        <v>66</v>
      </c>
      <c r="B68" s="10">
        <v>4527</v>
      </c>
      <c r="C68" s="10">
        <v>44</v>
      </c>
      <c r="D68" s="10" t="s">
        <v>25</v>
      </c>
      <c r="E68" s="10" t="s">
        <v>9</v>
      </c>
      <c r="F68" s="11">
        <v>27888</v>
      </c>
      <c r="G68" s="10">
        <v>19</v>
      </c>
      <c r="H68" s="12">
        <v>151056</v>
      </c>
      <c r="I68" s="13" t="str">
        <f t="shared" si="1"/>
        <v>40-49</v>
      </c>
    </row>
    <row r="69" spans="1:9" x14ac:dyDescent="0.35">
      <c r="A69" s="9">
        <v>67</v>
      </c>
      <c r="B69" s="10">
        <v>6286</v>
      </c>
      <c r="C69" s="10">
        <v>40</v>
      </c>
      <c r="D69" s="10" t="s">
        <v>25</v>
      </c>
      <c r="E69" s="10" t="s">
        <v>8</v>
      </c>
      <c r="F69" s="11">
        <v>37428</v>
      </c>
      <c r="G69" s="10">
        <v>18</v>
      </c>
      <c r="H69" s="12">
        <v>135177</v>
      </c>
      <c r="I69" s="13" t="str">
        <f t="shared" si="1"/>
        <v>40-49</v>
      </c>
    </row>
    <row r="70" spans="1:9" x14ac:dyDescent="0.35">
      <c r="A70" s="9">
        <v>68</v>
      </c>
      <c r="B70" s="10">
        <v>3154</v>
      </c>
      <c r="C70" s="10">
        <v>31</v>
      </c>
      <c r="D70" s="10" t="s">
        <v>26</v>
      </c>
      <c r="E70" s="10" t="s">
        <v>10</v>
      </c>
      <c r="F70" s="11">
        <v>35458</v>
      </c>
      <c r="G70" s="10">
        <v>12</v>
      </c>
      <c r="H70" s="12">
        <v>99214</v>
      </c>
      <c r="I70" s="13" t="str">
        <f t="shared" si="1"/>
        <v>30-39</v>
      </c>
    </row>
    <row r="71" spans="1:9" x14ac:dyDescent="0.35">
      <c r="A71" s="9">
        <v>69</v>
      </c>
      <c r="B71" s="10">
        <v>9819</v>
      </c>
      <c r="C71" s="10">
        <v>35</v>
      </c>
      <c r="D71" s="10" t="s">
        <v>25</v>
      </c>
      <c r="E71" s="10" t="s">
        <v>9</v>
      </c>
      <c r="F71" s="11">
        <v>43681</v>
      </c>
      <c r="G71" s="10">
        <v>17</v>
      </c>
      <c r="H71" s="12">
        <v>133866</v>
      </c>
      <c r="I71" s="13" t="str">
        <f t="shared" si="1"/>
        <v>30-39</v>
      </c>
    </row>
    <row r="72" spans="1:9" x14ac:dyDescent="0.35">
      <c r="A72" s="9">
        <v>70</v>
      </c>
      <c r="B72" s="10">
        <v>3438</v>
      </c>
      <c r="C72" s="10">
        <v>32</v>
      </c>
      <c r="D72" s="10" t="s">
        <v>26</v>
      </c>
      <c r="E72" s="10" t="s">
        <v>14</v>
      </c>
      <c r="F72" s="11">
        <v>27184</v>
      </c>
      <c r="G72" s="10">
        <v>16</v>
      </c>
      <c r="H72" s="12">
        <v>127570</v>
      </c>
      <c r="I72" s="13" t="str">
        <f t="shared" si="1"/>
        <v>30-39</v>
      </c>
    </row>
    <row r="73" spans="1:9" x14ac:dyDescent="0.35">
      <c r="A73" s="9">
        <v>71</v>
      </c>
      <c r="B73" s="10">
        <v>8337</v>
      </c>
      <c r="C73" s="10">
        <v>35</v>
      </c>
      <c r="D73" s="10" t="s">
        <v>26</v>
      </c>
      <c r="E73" s="10" t="s">
        <v>13</v>
      </c>
      <c r="F73" s="11">
        <v>33369</v>
      </c>
      <c r="G73" s="10">
        <v>19</v>
      </c>
      <c r="H73" s="12">
        <v>140250</v>
      </c>
      <c r="I73" s="13" t="str">
        <f t="shared" si="1"/>
        <v>30-39</v>
      </c>
    </row>
    <row r="74" spans="1:9" x14ac:dyDescent="0.35">
      <c r="A74" s="9">
        <v>72</v>
      </c>
      <c r="B74" s="10">
        <v>7233</v>
      </c>
      <c r="C74" s="10">
        <v>51</v>
      </c>
      <c r="D74" s="10" t="s">
        <v>25</v>
      </c>
      <c r="E74" s="10" t="s">
        <v>9</v>
      </c>
      <c r="F74" s="11">
        <v>33641</v>
      </c>
      <c r="G74" s="10">
        <v>27</v>
      </c>
      <c r="H74" s="12">
        <v>212800</v>
      </c>
      <c r="I74" s="13" t="str">
        <f t="shared" si="1"/>
        <v>50-59</v>
      </c>
    </row>
    <row r="75" spans="1:9" x14ac:dyDescent="0.35">
      <c r="A75" s="9">
        <v>73</v>
      </c>
      <c r="B75" s="10">
        <v>7073</v>
      </c>
      <c r="C75" s="10">
        <v>50</v>
      </c>
      <c r="D75" s="10" t="s">
        <v>25</v>
      </c>
      <c r="E75" s="10" t="s">
        <v>13</v>
      </c>
      <c r="F75" s="11">
        <v>33851</v>
      </c>
      <c r="G75" s="10">
        <v>23</v>
      </c>
      <c r="H75" s="12">
        <v>191346</v>
      </c>
      <c r="I75" s="13" t="str">
        <f t="shared" si="1"/>
        <v>50-59</v>
      </c>
    </row>
    <row r="76" spans="1:9" x14ac:dyDescent="0.35">
      <c r="A76" s="9">
        <v>74</v>
      </c>
      <c r="B76" s="10">
        <v>6850</v>
      </c>
      <c r="C76" s="10">
        <v>36</v>
      </c>
      <c r="D76" s="10" t="s">
        <v>26</v>
      </c>
      <c r="E76" s="10" t="s">
        <v>10</v>
      </c>
      <c r="F76" s="11">
        <v>35513</v>
      </c>
      <c r="G76" s="10">
        <v>20</v>
      </c>
      <c r="H76" s="12">
        <v>160278</v>
      </c>
      <c r="I76" s="13" t="str">
        <f t="shared" si="1"/>
        <v>30-39</v>
      </c>
    </row>
    <row r="77" spans="1:9" x14ac:dyDescent="0.35">
      <c r="A77" s="9">
        <v>75</v>
      </c>
      <c r="B77" s="10">
        <v>7191</v>
      </c>
      <c r="C77" s="10">
        <v>52</v>
      </c>
      <c r="D77" s="10" t="s">
        <v>26</v>
      </c>
      <c r="E77" s="10" t="s">
        <v>9</v>
      </c>
      <c r="F77" s="11">
        <v>30446</v>
      </c>
      <c r="G77" s="10">
        <v>27</v>
      </c>
      <c r="H77" s="12">
        <v>217985</v>
      </c>
      <c r="I77" s="13" t="str">
        <f t="shared" si="1"/>
        <v>50-59</v>
      </c>
    </row>
    <row r="78" spans="1:9" x14ac:dyDescent="0.35">
      <c r="A78" s="9">
        <v>76</v>
      </c>
      <c r="B78" s="10">
        <v>5208</v>
      </c>
      <c r="C78" s="10">
        <v>36</v>
      </c>
      <c r="D78" s="10" t="s">
        <v>26</v>
      </c>
      <c r="E78" s="10" t="s">
        <v>14</v>
      </c>
      <c r="F78" s="11">
        <v>44911</v>
      </c>
      <c r="G78" s="10">
        <v>20</v>
      </c>
      <c r="H78" s="12">
        <v>172798</v>
      </c>
      <c r="I78" s="13" t="str">
        <f t="shared" si="1"/>
        <v>30-39</v>
      </c>
    </row>
    <row r="79" spans="1:9" x14ac:dyDescent="0.35">
      <c r="A79" s="9">
        <v>77</v>
      </c>
      <c r="B79" s="10">
        <v>5116</v>
      </c>
      <c r="C79" s="10">
        <v>26</v>
      </c>
      <c r="D79" s="10" t="s">
        <v>25</v>
      </c>
      <c r="E79" s="10" t="s">
        <v>14</v>
      </c>
      <c r="F79" s="11">
        <v>25987</v>
      </c>
      <c r="G79" s="10">
        <v>15</v>
      </c>
      <c r="H79" s="12">
        <v>120869</v>
      </c>
      <c r="I79" s="13" t="str">
        <f t="shared" si="1"/>
        <v>20-29</v>
      </c>
    </row>
    <row r="80" spans="1:9" x14ac:dyDescent="0.35">
      <c r="A80" s="9">
        <v>78</v>
      </c>
      <c r="B80" s="10">
        <v>6328</v>
      </c>
      <c r="C80" s="10">
        <v>45</v>
      </c>
      <c r="D80" s="10" t="s">
        <v>26</v>
      </c>
      <c r="E80" s="10" t="s">
        <v>9</v>
      </c>
      <c r="F80" s="11">
        <v>29280</v>
      </c>
      <c r="G80" s="10">
        <v>23</v>
      </c>
      <c r="H80" s="12">
        <v>186135</v>
      </c>
      <c r="I80" s="13" t="str">
        <f t="shared" si="1"/>
        <v>40-49</v>
      </c>
    </row>
    <row r="81" spans="1:9" x14ac:dyDescent="0.35">
      <c r="A81" s="9">
        <v>79</v>
      </c>
      <c r="B81" s="10">
        <v>3538</v>
      </c>
      <c r="C81" s="10">
        <v>27</v>
      </c>
      <c r="D81" s="10" t="s">
        <v>25</v>
      </c>
      <c r="E81" s="10" t="s">
        <v>13</v>
      </c>
      <c r="F81" s="11">
        <v>41441</v>
      </c>
      <c r="G81" s="10">
        <v>12</v>
      </c>
      <c r="H81" s="12">
        <v>107313</v>
      </c>
      <c r="I81" s="13" t="str">
        <f t="shared" si="1"/>
        <v>20-29</v>
      </c>
    </row>
    <row r="82" spans="1:9" x14ac:dyDescent="0.35">
      <c r="A82" s="9">
        <v>80</v>
      </c>
      <c r="B82" s="10">
        <v>5826</v>
      </c>
      <c r="C82" s="10">
        <v>48</v>
      </c>
      <c r="D82" s="10" t="s">
        <v>25</v>
      </c>
      <c r="E82" s="10" t="s">
        <v>13</v>
      </c>
      <c r="F82" s="11">
        <v>27334</v>
      </c>
      <c r="G82" s="10">
        <v>23</v>
      </c>
      <c r="H82" s="12">
        <v>189726</v>
      </c>
      <c r="I82" s="13" t="str">
        <f t="shared" si="1"/>
        <v>40-49</v>
      </c>
    </row>
    <row r="83" spans="1:9" x14ac:dyDescent="0.35">
      <c r="A83" s="9">
        <v>81</v>
      </c>
      <c r="B83" s="10">
        <v>6108</v>
      </c>
      <c r="C83" s="10">
        <v>45</v>
      </c>
      <c r="D83" s="10" t="s">
        <v>26</v>
      </c>
      <c r="E83" s="10" t="s">
        <v>13</v>
      </c>
      <c r="F83" s="11">
        <v>41237</v>
      </c>
      <c r="G83" s="10">
        <v>21</v>
      </c>
      <c r="H83" s="12">
        <v>171530</v>
      </c>
      <c r="I83" s="13" t="str">
        <f t="shared" si="1"/>
        <v>40-49</v>
      </c>
    </row>
    <row r="84" spans="1:9" x14ac:dyDescent="0.35">
      <c r="A84" s="9">
        <v>82</v>
      </c>
      <c r="B84" s="10">
        <v>2867</v>
      </c>
      <c r="C84" s="10">
        <v>64</v>
      </c>
      <c r="D84" s="10" t="s">
        <v>25</v>
      </c>
      <c r="E84" s="10" t="s">
        <v>10</v>
      </c>
      <c r="F84" s="11">
        <v>42227</v>
      </c>
      <c r="G84" s="10">
        <v>34</v>
      </c>
      <c r="H84" s="12">
        <v>271935</v>
      </c>
      <c r="I84" s="13" t="str">
        <f t="shared" si="1"/>
        <v>60+</v>
      </c>
    </row>
    <row r="85" spans="1:9" x14ac:dyDescent="0.35">
      <c r="A85" s="9">
        <v>83</v>
      </c>
      <c r="B85" s="10">
        <v>4495</v>
      </c>
      <c r="C85" s="10">
        <v>53</v>
      </c>
      <c r="D85" s="10" t="s">
        <v>26</v>
      </c>
      <c r="E85" s="10" t="s">
        <v>10</v>
      </c>
      <c r="F85" s="11">
        <v>27962</v>
      </c>
      <c r="G85" s="10">
        <v>29</v>
      </c>
      <c r="H85" s="12">
        <v>234900</v>
      </c>
      <c r="I85" s="13" t="str">
        <f t="shared" si="1"/>
        <v>50-59</v>
      </c>
    </row>
    <row r="86" spans="1:9" x14ac:dyDescent="0.35">
      <c r="A86" s="9">
        <v>84</v>
      </c>
      <c r="B86" s="10">
        <v>9750</v>
      </c>
      <c r="C86" s="10">
        <v>49</v>
      </c>
      <c r="D86" s="10" t="s">
        <v>25</v>
      </c>
      <c r="E86" s="10" t="s">
        <v>8</v>
      </c>
      <c r="F86" s="11">
        <v>39717</v>
      </c>
      <c r="G86" s="10">
        <v>23</v>
      </c>
      <c r="H86" s="12">
        <v>181290</v>
      </c>
      <c r="I86" s="13" t="str">
        <f t="shared" si="1"/>
        <v>40-49</v>
      </c>
    </row>
    <row r="87" spans="1:9" x14ac:dyDescent="0.35">
      <c r="A87" s="9">
        <v>85</v>
      </c>
      <c r="B87" s="10">
        <v>9243</v>
      </c>
      <c r="C87" s="10">
        <v>60</v>
      </c>
      <c r="D87" s="10" t="s">
        <v>25</v>
      </c>
      <c r="E87" s="10" t="s">
        <v>9</v>
      </c>
      <c r="F87" s="11">
        <v>35165</v>
      </c>
      <c r="G87" s="10">
        <v>31</v>
      </c>
      <c r="H87" s="12">
        <v>246555</v>
      </c>
      <c r="I87" s="13" t="str">
        <f t="shared" si="1"/>
        <v>60+</v>
      </c>
    </row>
    <row r="88" spans="1:9" x14ac:dyDescent="0.35">
      <c r="A88" s="9">
        <v>86</v>
      </c>
      <c r="B88" s="10">
        <v>8462</v>
      </c>
      <c r="C88" s="10">
        <v>51</v>
      </c>
      <c r="D88" s="10" t="s">
        <v>26</v>
      </c>
      <c r="E88" s="10" t="s">
        <v>8</v>
      </c>
      <c r="F88" s="11">
        <v>35533</v>
      </c>
      <c r="G88" s="10">
        <v>24</v>
      </c>
      <c r="H88" s="12">
        <v>191660</v>
      </c>
      <c r="I88" s="13" t="str">
        <f t="shared" si="1"/>
        <v>50-59</v>
      </c>
    </row>
    <row r="89" spans="1:9" x14ac:dyDescent="0.35">
      <c r="A89" s="9">
        <v>87</v>
      </c>
      <c r="B89" s="10">
        <v>8247</v>
      </c>
      <c r="C89" s="10">
        <v>22</v>
      </c>
      <c r="D89" s="10" t="s">
        <v>26</v>
      </c>
      <c r="E89" s="10" t="s">
        <v>9</v>
      </c>
      <c r="F89" s="11">
        <v>38128</v>
      </c>
      <c r="G89" s="10">
        <v>14</v>
      </c>
      <c r="H89" s="12">
        <v>111511</v>
      </c>
      <c r="I89" s="13" t="str">
        <f t="shared" si="1"/>
        <v>20-29</v>
      </c>
    </row>
    <row r="90" spans="1:9" x14ac:dyDescent="0.35">
      <c r="A90" s="9">
        <v>88</v>
      </c>
      <c r="B90" s="10">
        <v>3054</v>
      </c>
      <c r="C90" s="10">
        <v>43</v>
      </c>
      <c r="D90" s="10" t="s">
        <v>26</v>
      </c>
      <c r="E90" s="10" t="s">
        <v>14</v>
      </c>
      <c r="F90" s="11">
        <v>44150</v>
      </c>
      <c r="G90" s="10">
        <v>19</v>
      </c>
      <c r="H90" s="12">
        <v>148439</v>
      </c>
      <c r="I90" s="13" t="str">
        <f t="shared" si="1"/>
        <v>40-49</v>
      </c>
    </row>
    <row r="91" spans="1:9" x14ac:dyDescent="0.35">
      <c r="A91" s="9">
        <v>89</v>
      </c>
      <c r="B91" s="10">
        <v>3988</v>
      </c>
      <c r="C91" s="10">
        <v>31</v>
      </c>
      <c r="D91" s="10" t="s">
        <v>26</v>
      </c>
      <c r="E91" s="10" t="s">
        <v>13</v>
      </c>
      <c r="F91" s="11">
        <v>32710</v>
      </c>
      <c r="G91" s="10">
        <v>15</v>
      </c>
      <c r="H91" s="12">
        <v>120884</v>
      </c>
      <c r="I91" s="13" t="str">
        <f t="shared" si="1"/>
        <v>30-39</v>
      </c>
    </row>
    <row r="92" spans="1:9" x14ac:dyDescent="0.35">
      <c r="A92" s="9">
        <v>90</v>
      </c>
      <c r="B92" s="10">
        <v>3300</v>
      </c>
      <c r="C92" s="10">
        <v>26</v>
      </c>
      <c r="D92" s="10" t="s">
        <v>26</v>
      </c>
      <c r="E92" s="10" t="s">
        <v>9</v>
      </c>
      <c r="F92" s="11">
        <v>45931</v>
      </c>
      <c r="G92" s="10">
        <v>12</v>
      </c>
      <c r="H92" s="12">
        <v>94805</v>
      </c>
      <c r="I92" s="13" t="str">
        <f t="shared" si="1"/>
        <v>20-29</v>
      </c>
    </row>
    <row r="93" spans="1:9" x14ac:dyDescent="0.35">
      <c r="A93" s="9">
        <v>91</v>
      </c>
      <c r="B93" s="10">
        <v>9343</v>
      </c>
      <c r="C93" s="10">
        <v>27</v>
      </c>
      <c r="D93" s="10" t="s">
        <v>25</v>
      </c>
      <c r="E93" s="10" t="s">
        <v>9</v>
      </c>
      <c r="F93" s="11">
        <v>29951</v>
      </c>
      <c r="G93" s="10">
        <v>13</v>
      </c>
      <c r="H93" s="12">
        <v>97135</v>
      </c>
      <c r="I93" s="13" t="str">
        <f t="shared" si="1"/>
        <v>20-29</v>
      </c>
    </row>
    <row r="94" spans="1:9" x14ac:dyDescent="0.35">
      <c r="A94" s="9">
        <v>92</v>
      </c>
      <c r="B94" s="10">
        <v>4183</v>
      </c>
      <c r="C94" s="10">
        <v>52</v>
      </c>
      <c r="D94" s="10" t="s">
        <v>25</v>
      </c>
      <c r="E94" s="10" t="s">
        <v>14</v>
      </c>
      <c r="F94" s="11">
        <v>38835</v>
      </c>
      <c r="G94" s="10">
        <v>29</v>
      </c>
      <c r="H94" s="12">
        <v>220820</v>
      </c>
      <c r="I94" s="13" t="str">
        <f t="shared" si="1"/>
        <v>50-59</v>
      </c>
    </row>
    <row r="95" spans="1:9" x14ac:dyDescent="0.35">
      <c r="A95" s="9">
        <v>93</v>
      </c>
      <c r="B95" s="10">
        <v>4933</v>
      </c>
      <c r="C95" s="10">
        <v>31</v>
      </c>
      <c r="D95" s="10" t="s">
        <v>26</v>
      </c>
      <c r="E95" s="10" t="s">
        <v>10</v>
      </c>
      <c r="F95" s="11">
        <v>41629</v>
      </c>
      <c r="G95" s="10">
        <v>14</v>
      </c>
      <c r="H95" s="12">
        <v>118043</v>
      </c>
      <c r="I95" s="13" t="str">
        <f t="shared" si="1"/>
        <v>30-39</v>
      </c>
    </row>
    <row r="96" spans="1:9" x14ac:dyDescent="0.35">
      <c r="A96" s="9">
        <v>94</v>
      </c>
      <c r="B96" s="10">
        <v>7374</v>
      </c>
      <c r="C96" s="10">
        <v>52</v>
      </c>
      <c r="D96" s="10" t="s">
        <v>25</v>
      </c>
      <c r="E96" s="10" t="s">
        <v>13</v>
      </c>
      <c r="F96" s="11">
        <v>39856</v>
      </c>
      <c r="G96" s="10">
        <v>27</v>
      </c>
      <c r="H96" s="12">
        <v>223315</v>
      </c>
      <c r="I96" s="13" t="str">
        <f t="shared" si="1"/>
        <v>50-59</v>
      </c>
    </row>
    <row r="97" spans="1:9" x14ac:dyDescent="0.35">
      <c r="A97" s="9">
        <v>95</v>
      </c>
      <c r="B97" s="10">
        <v>1082</v>
      </c>
      <c r="C97" s="10">
        <v>61</v>
      </c>
      <c r="D97" s="10" t="s">
        <v>26</v>
      </c>
      <c r="E97" s="10" t="s">
        <v>8</v>
      </c>
      <c r="F97" s="11">
        <v>37988</v>
      </c>
      <c r="G97" s="10">
        <v>30</v>
      </c>
      <c r="H97" s="12">
        <v>246738</v>
      </c>
      <c r="I97" s="13" t="str">
        <f t="shared" si="1"/>
        <v>60+</v>
      </c>
    </row>
    <row r="98" spans="1:9" x14ac:dyDescent="0.35">
      <c r="A98" s="9">
        <v>96</v>
      </c>
      <c r="B98" s="10">
        <v>4204</v>
      </c>
      <c r="C98" s="10">
        <v>52</v>
      </c>
      <c r="D98" s="10" t="s">
        <v>25</v>
      </c>
      <c r="E98" s="10" t="s">
        <v>8</v>
      </c>
      <c r="F98" s="11">
        <v>43322</v>
      </c>
      <c r="G98" s="10">
        <v>24</v>
      </c>
      <c r="H98" s="12">
        <v>191082</v>
      </c>
      <c r="I98" s="13" t="str">
        <f t="shared" si="1"/>
        <v>50-59</v>
      </c>
    </row>
    <row r="99" spans="1:9" x14ac:dyDescent="0.35">
      <c r="A99" s="9">
        <v>97</v>
      </c>
      <c r="B99" s="10">
        <v>9015</v>
      </c>
      <c r="C99" s="10">
        <v>59</v>
      </c>
      <c r="D99" s="10" t="s">
        <v>25</v>
      </c>
      <c r="E99" s="10" t="s">
        <v>8</v>
      </c>
      <c r="F99" s="11">
        <v>42954</v>
      </c>
      <c r="G99" s="10">
        <v>28</v>
      </c>
      <c r="H99" s="12">
        <v>225302</v>
      </c>
      <c r="I99" s="13" t="str">
        <f t="shared" si="1"/>
        <v>50-59</v>
      </c>
    </row>
    <row r="100" spans="1:9" x14ac:dyDescent="0.35">
      <c r="A100" s="9">
        <v>98</v>
      </c>
      <c r="B100" s="10">
        <v>1706</v>
      </c>
      <c r="C100" s="10">
        <v>40</v>
      </c>
      <c r="D100" s="10" t="s">
        <v>25</v>
      </c>
      <c r="E100" s="10" t="s">
        <v>14</v>
      </c>
      <c r="F100" s="11">
        <v>45187</v>
      </c>
      <c r="G100" s="10">
        <v>18</v>
      </c>
      <c r="H100" s="12">
        <v>142093</v>
      </c>
      <c r="I100" s="13" t="str">
        <f t="shared" si="1"/>
        <v>40-49</v>
      </c>
    </row>
    <row r="101" spans="1:9" x14ac:dyDescent="0.35">
      <c r="A101" s="9">
        <v>99</v>
      </c>
      <c r="B101" s="10">
        <v>3873</v>
      </c>
      <c r="C101" s="10">
        <v>46</v>
      </c>
      <c r="D101" s="10" t="s">
        <v>26</v>
      </c>
      <c r="E101" s="10" t="s">
        <v>14</v>
      </c>
      <c r="F101" s="11">
        <v>38541</v>
      </c>
      <c r="G101" s="10">
        <v>19</v>
      </c>
      <c r="H101" s="12">
        <v>156162</v>
      </c>
      <c r="I101" s="13" t="str">
        <f t="shared" si="1"/>
        <v>40-49</v>
      </c>
    </row>
    <row r="102" spans="1:9" x14ac:dyDescent="0.35">
      <c r="A102" s="9">
        <v>100</v>
      </c>
      <c r="B102" s="10">
        <v>3229</v>
      </c>
      <c r="C102" s="10">
        <v>35</v>
      </c>
      <c r="D102" s="10" t="s">
        <v>26</v>
      </c>
      <c r="E102" s="10" t="s">
        <v>9</v>
      </c>
      <c r="F102" s="11">
        <v>45670</v>
      </c>
      <c r="G102" s="10">
        <v>17</v>
      </c>
      <c r="H102" s="12">
        <v>134816</v>
      </c>
      <c r="I102" s="13" t="str">
        <f t="shared" si="1"/>
        <v>30-39</v>
      </c>
    </row>
    <row r="103" spans="1:9" x14ac:dyDescent="0.35">
      <c r="A103" s="9">
        <v>101</v>
      </c>
      <c r="B103" s="10">
        <v>6665</v>
      </c>
      <c r="C103" s="10">
        <v>40</v>
      </c>
      <c r="D103" s="10" t="s">
        <v>25</v>
      </c>
      <c r="E103" s="10" t="s">
        <v>13</v>
      </c>
      <c r="F103" s="11">
        <v>31288</v>
      </c>
      <c r="G103" s="10">
        <v>15</v>
      </c>
      <c r="H103" s="12">
        <v>122745</v>
      </c>
      <c r="I103" s="13" t="str">
        <f t="shared" si="1"/>
        <v>40-49</v>
      </c>
    </row>
    <row r="104" spans="1:9" x14ac:dyDescent="0.35">
      <c r="A104" s="9">
        <v>102</v>
      </c>
      <c r="B104" s="10">
        <v>4680</v>
      </c>
      <c r="C104" s="10">
        <v>40</v>
      </c>
      <c r="D104" s="10" t="s">
        <v>26</v>
      </c>
      <c r="E104" s="10" t="s">
        <v>13</v>
      </c>
      <c r="F104" s="11">
        <v>30839</v>
      </c>
      <c r="G104" s="10">
        <v>24</v>
      </c>
      <c r="H104" s="12">
        <v>186453</v>
      </c>
      <c r="I104" s="13" t="str">
        <f t="shared" si="1"/>
        <v>40-49</v>
      </c>
    </row>
    <row r="105" spans="1:9" x14ac:dyDescent="0.35">
      <c r="A105" s="9">
        <v>103</v>
      </c>
      <c r="B105" s="10">
        <v>1002</v>
      </c>
      <c r="C105" s="10">
        <v>48</v>
      </c>
      <c r="D105" s="10" t="s">
        <v>25</v>
      </c>
      <c r="E105" s="10" t="s">
        <v>14</v>
      </c>
      <c r="F105" s="11">
        <v>41468</v>
      </c>
      <c r="G105" s="10">
        <v>25</v>
      </c>
      <c r="H105" s="12">
        <v>199561</v>
      </c>
      <c r="I105" s="13" t="str">
        <f t="shared" si="1"/>
        <v>40-49</v>
      </c>
    </row>
    <row r="106" spans="1:9" x14ac:dyDescent="0.35">
      <c r="A106" s="9">
        <v>104</v>
      </c>
      <c r="B106" s="10">
        <v>1137</v>
      </c>
      <c r="C106" s="10">
        <v>54</v>
      </c>
      <c r="D106" s="10" t="s">
        <v>26</v>
      </c>
      <c r="E106" s="10" t="s">
        <v>10</v>
      </c>
      <c r="F106" s="11">
        <v>33349</v>
      </c>
      <c r="G106" s="10">
        <v>25</v>
      </c>
      <c r="H106" s="12">
        <v>204293</v>
      </c>
      <c r="I106" s="13" t="str">
        <f t="shared" si="1"/>
        <v>50-59</v>
      </c>
    </row>
    <row r="107" spans="1:9" x14ac:dyDescent="0.35">
      <c r="A107" s="9">
        <v>105</v>
      </c>
      <c r="B107" s="10">
        <v>7922</v>
      </c>
      <c r="C107" s="10">
        <v>58</v>
      </c>
      <c r="D107" s="10" t="s">
        <v>26</v>
      </c>
      <c r="E107" s="10" t="s">
        <v>13</v>
      </c>
      <c r="F107" s="11">
        <v>27661</v>
      </c>
      <c r="G107" s="10">
        <v>30</v>
      </c>
      <c r="H107" s="12">
        <v>242531</v>
      </c>
      <c r="I107" s="13" t="str">
        <f t="shared" si="1"/>
        <v>50-59</v>
      </c>
    </row>
    <row r="108" spans="1:9" x14ac:dyDescent="0.35">
      <c r="A108" s="9">
        <v>106</v>
      </c>
      <c r="B108" s="10">
        <v>3307</v>
      </c>
      <c r="C108" s="10">
        <v>25</v>
      </c>
      <c r="D108" s="10" t="s">
        <v>26</v>
      </c>
      <c r="E108" s="10" t="s">
        <v>14</v>
      </c>
      <c r="F108" s="11">
        <v>31903</v>
      </c>
      <c r="G108" s="10">
        <v>12</v>
      </c>
      <c r="H108" s="12">
        <v>103111</v>
      </c>
      <c r="I108" s="13" t="str">
        <f t="shared" si="1"/>
        <v>20-29</v>
      </c>
    </row>
    <row r="109" spans="1:9" x14ac:dyDescent="0.35">
      <c r="A109" s="9">
        <v>107</v>
      </c>
      <c r="B109" s="10">
        <v>8235</v>
      </c>
      <c r="C109" s="10">
        <v>53</v>
      </c>
      <c r="D109" s="10" t="s">
        <v>26</v>
      </c>
      <c r="E109" s="10" t="s">
        <v>13</v>
      </c>
      <c r="F109" s="11">
        <v>35608</v>
      </c>
      <c r="G109" s="10">
        <v>30</v>
      </c>
      <c r="H109" s="12">
        <v>237496</v>
      </c>
      <c r="I109" s="13" t="str">
        <f t="shared" si="1"/>
        <v>50-59</v>
      </c>
    </row>
    <row r="110" spans="1:9" x14ac:dyDescent="0.35">
      <c r="A110" s="9">
        <v>108</v>
      </c>
      <c r="B110" s="10">
        <v>9113</v>
      </c>
      <c r="C110" s="10">
        <v>50</v>
      </c>
      <c r="D110" s="10" t="s">
        <v>25</v>
      </c>
      <c r="E110" s="10" t="s">
        <v>9</v>
      </c>
      <c r="F110" s="11">
        <v>44783</v>
      </c>
      <c r="G110" s="10">
        <v>24</v>
      </c>
      <c r="H110" s="12">
        <v>193765</v>
      </c>
      <c r="I110" s="13" t="str">
        <f t="shared" si="1"/>
        <v>50-59</v>
      </c>
    </row>
    <row r="111" spans="1:9" x14ac:dyDescent="0.35">
      <c r="A111" s="9">
        <v>109</v>
      </c>
      <c r="B111" s="10">
        <v>6545</v>
      </c>
      <c r="C111" s="10">
        <v>63</v>
      </c>
      <c r="D111" s="10" t="s">
        <v>25</v>
      </c>
      <c r="E111" s="10" t="s">
        <v>13</v>
      </c>
      <c r="F111" s="11">
        <v>35389</v>
      </c>
      <c r="G111" s="10">
        <v>30</v>
      </c>
      <c r="H111" s="12">
        <v>240281</v>
      </c>
      <c r="I111" s="13" t="str">
        <f t="shared" si="1"/>
        <v>60+</v>
      </c>
    </row>
    <row r="112" spans="1:9" x14ac:dyDescent="0.35">
      <c r="A112" s="9">
        <v>110</v>
      </c>
      <c r="B112" s="10">
        <v>4987</v>
      </c>
      <c r="C112" s="10">
        <v>54</v>
      </c>
      <c r="D112" s="10" t="s">
        <v>25</v>
      </c>
      <c r="E112" s="10" t="s">
        <v>8</v>
      </c>
      <c r="F112" s="11">
        <v>28723</v>
      </c>
      <c r="G112" s="10">
        <v>22</v>
      </c>
      <c r="H112" s="12">
        <v>176659</v>
      </c>
      <c r="I112" s="13" t="str">
        <f t="shared" si="1"/>
        <v>50-59</v>
      </c>
    </row>
    <row r="113" spans="1:9" x14ac:dyDescent="0.35">
      <c r="A113" s="9">
        <v>111</v>
      </c>
      <c r="B113" s="10">
        <v>9111</v>
      </c>
      <c r="C113" s="10">
        <v>58</v>
      </c>
      <c r="D113" s="10" t="s">
        <v>26</v>
      </c>
      <c r="E113" s="10" t="s">
        <v>14</v>
      </c>
      <c r="F113" s="11">
        <v>31169</v>
      </c>
      <c r="G113" s="10">
        <v>30</v>
      </c>
      <c r="H113" s="12">
        <v>244973</v>
      </c>
      <c r="I113" s="13" t="str">
        <f t="shared" si="1"/>
        <v>50-59</v>
      </c>
    </row>
    <row r="114" spans="1:9" x14ac:dyDescent="0.35">
      <c r="A114" s="9">
        <v>112</v>
      </c>
      <c r="B114" s="10">
        <v>1061</v>
      </c>
      <c r="C114" s="10">
        <v>37</v>
      </c>
      <c r="D114" s="10" t="s">
        <v>25</v>
      </c>
      <c r="E114" s="10" t="s">
        <v>9</v>
      </c>
      <c r="F114" s="11">
        <v>30961</v>
      </c>
      <c r="G114" s="10">
        <v>20</v>
      </c>
      <c r="H114" s="12">
        <v>160566</v>
      </c>
      <c r="I114" s="13" t="str">
        <f t="shared" si="1"/>
        <v>30-39</v>
      </c>
    </row>
    <row r="115" spans="1:9" x14ac:dyDescent="0.35">
      <c r="A115" s="9">
        <v>113</v>
      </c>
      <c r="B115" s="10">
        <v>6101</v>
      </c>
      <c r="C115" s="10">
        <v>43</v>
      </c>
      <c r="D115" s="10" t="s">
        <v>26</v>
      </c>
      <c r="E115" s="10" t="s">
        <v>14</v>
      </c>
      <c r="F115" s="11">
        <v>39304</v>
      </c>
      <c r="G115" s="10">
        <v>23</v>
      </c>
      <c r="H115" s="12">
        <v>177312</v>
      </c>
      <c r="I115" s="13" t="str">
        <f t="shared" si="1"/>
        <v>40-49</v>
      </c>
    </row>
    <row r="116" spans="1:9" x14ac:dyDescent="0.35">
      <c r="A116" s="9">
        <v>114</v>
      </c>
      <c r="B116" s="10">
        <v>5338</v>
      </c>
      <c r="C116" s="10">
        <v>24</v>
      </c>
      <c r="D116" s="10" t="s">
        <v>25</v>
      </c>
      <c r="E116" s="10" t="s">
        <v>10</v>
      </c>
      <c r="F116" s="11">
        <v>42588</v>
      </c>
      <c r="G116" s="10">
        <v>12</v>
      </c>
      <c r="H116" s="12">
        <v>92967</v>
      </c>
      <c r="I116" s="13" t="str">
        <f t="shared" si="1"/>
        <v>20-29</v>
      </c>
    </row>
    <row r="117" spans="1:9" x14ac:dyDescent="0.35">
      <c r="A117" s="9">
        <v>115</v>
      </c>
      <c r="B117" s="10">
        <v>3697</v>
      </c>
      <c r="C117" s="10">
        <v>46</v>
      </c>
      <c r="D117" s="10" t="s">
        <v>25</v>
      </c>
      <c r="E117" s="10" t="s">
        <v>10</v>
      </c>
      <c r="F117" s="11">
        <v>37488</v>
      </c>
      <c r="G117" s="10">
        <v>25</v>
      </c>
      <c r="H117" s="12">
        <v>208044</v>
      </c>
      <c r="I117" s="13" t="str">
        <f t="shared" si="1"/>
        <v>40-49</v>
      </c>
    </row>
    <row r="118" spans="1:9" x14ac:dyDescent="0.35">
      <c r="A118" s="9">
        <v>116</v>
      </c>
      <c r="B118" s="10">
        <v>6704</v>
      </c>
      <c r="C118" s="10">
        <v>60</v>
      </c>
      <c r="D118" s="10" t="s">
        <v>25</v>
      </c>
      <c r="E118" s="10" t="s">
        <v>8</v>
      </c>
      <c r="F118" s="11">
        <v>40190</v>
      </c>
      <c r="G118" s="10">
        <v>29</v>
      </c>
      <c r="H118" s="12">
        <v>225723</v>
      </c>
      <c r="I118" s="13" t="str">
        <f t="shared" si="1"/>
        <v>60+</v>
      </c>
    </row>
    <row r="119" spans="1:9" x14ac:dyDescent="0.35">
      <c r="A119" s="9">
        <v>117</v>
      </c>
      <c r="B119" s="10">
        <v>1819</v>
      </c>
      <c r="C119" s="10">
        <v>61</v>
      </c>
      <c r="D119" s="10" t="s">
        <v>25</v>
      </c>
      <c r="E119" s="10" t="s">
        <v>14</v>
      </c>
      <c r="F119" s="11">
        <v>40944</v>
      </c>
      <c r="G119" s="10">
        <v>26</v>
      </c>
      <c r="H119" s="12">
        <v>208426</v>
      </c>
      <c r="I119" s="13" t="str">
        <f t="shared" si="1"/>
        <v>60+</v>
      </c>
    </row>
    <row r="120" spans="1:9" x14ac:dyDescent="0.35">
      <c r="A120" s="9">
        <v>118</v>
      </c>
      <c r="B120" s="10">
        <v>4425</v>
      </c>
      <c r="C120" s="10">
        <v>61</v>
      </c>
      <c r="D120" s="10" t="s">
        <v>25</v>
      </c>
      <c r="E120" s="10" t="s">
        <v>14</v>
      </c>
      <c r="F120" s="11">
        <v>28786</v>
      </c>
      <c r="G120" s="10">
        <v>35</v>
      </c>
      <c r="H120" s="12">
        <v>279946</v>
      </c>
      <c r="I120" s="13" t="str">
        <f t="shared" si="1"/>
        <v>60+</v>
      </c>
    </row>
    <row r="121" spans="1:9" x14ac:dyDescent="0.35">
      <c r="A121" s="9">
        <v>119</v>
      </c>
      <c r="B121" s="10">
        <v>2499</v>
      </c>
      <c r="C121" s="10">
        <v>29</v>
      </c>
      <c r="D121" s="10" t="s">
        <v>26</v>
      </c>
      <c r="E121" s="10" t="s">
        <v>8</v>
      </c>
      <c r="F121" s="11">
        <v>39014</v>
      </c>
      <c r="G121" s="10">
        <v>16</v>
      </c>
      <c r="H121" s="12">
        <v>129970</v>
      </c>
      <c r="I121" s="13" t="str">
        <f t="shared" si="1"/>
        <v>20-29</v>
      </c>
    </row>
    <row r="122" spans="1:9" x14ac:dyDescent="0.35">
      <c r="A122" s="9">
        <v>120</v>
      </c>
      <c r="B122" s="10">
        <v>4801</v>
      </c>
      <c r="C122" s="10">
        <v>54</v>
      </c>
      <c r="D122" s="10" t="s">
        <v>25</v>
      </c>
      <c r="E122" s="10" t="s">
        <v>13</v>
      </c>
      <c r="F122" s="11">
        <v>31147</v>
      </c>
      <c r="G122" s="10">
        <v>28</v>
      </c>
      <c r="H122" s="12">
        <v>225408</v>
      </c>
      <c r="I122" s="13" t="str">
        <f t="shared" si="1"/>
        <v>50-59</v>
      </c>
    </row>
    <row r="123" spans="1:9" x14ac:dyDescent="0.35">
      <c r="A123" s="9">
        <v>121</v>
      </c>
      <c r="B123" s="10">
        <v>8001</v>
      </c>
      <c r="C123" s="10">
        <v>32</v>
      </c>
      <c r="D123" s="10" t="s">
        <v>25</v>
      </c>
      <c r="E123" s="10" t="s">
        <v>14</v>
      </c>
      <c r="F123" s="11">
        <v>38851</v>
      </c>
      <c r="G123" s="10">
        <v>16</v>
      </c>
      <c r="H123" s="12">
        <v>125760</v>
      </c>
      <c r="I123" s="13" t="str">
        <f t="shared" si="1"/>
        <v>30-39</v>
      </c>
    </row>
    <row r="124" spans="1:9" x14ac:dyDescent="0.35">
      <c r="A124" s="9">
        <v>122</v>
      </c>
      <c r="B124" s="10">
        <v>5263</v>
      </c>
      <c r="C124" s="10">
        <v>28</v>
      </c>
      <c r="D124" s="10" t="s">
        <v>26</v>
      </c>
      <c r="E124" s="10" t="s">
        <v>9</v>
      </c>
      <c r="F124" s="11">
        <v>38841</v>
      </c>
      <c r="G124" s="10">
        <v>12</v>
      </c>
      <c r="H124" s="12">
        <v>92056</v>
      </c>
      <c r="I124" s="13" t="str">
        <f t="shared" si="1"/>
        <v>20-29</v>
      </c>
    </row>
    <row r="125" spans="1:9" x14ac:dyDescent="0.35">
      <c r="A125" s="9">
        <v>123</v>
      </c>
      <c r="B125" s="10">
        <v>7486</v>
      </c>
      <c r="C125" s="10">
        <v>45</v>
      </c>
      <c r="D125" s="10" t="s">
        <v>26</v>
      </c>
      <c r="E125" s="10" t="s">
        <v>14</v>
      </c>
      <c r="F125" s="11">
        <v>43095</v>
      </c>
      <c r="G125" s="10">
        <v>23</v>
      </c>
      <c r="H125" s="12">
        <v>186546</v>
      </c>
      <c r="I125" s="13" t="str">
        <f t="shared" si="1"/>
        <v>40-49</v>
      </c>
    </row>
    <row r="126" spans="1:9" x14ac:dyDescent="0.35">
      <c r="A126" s="9">
        <v>124</v>
      </c>
      <c r="B126" s="10">
        <v>3717</v>
      </c>
      <c r="C126" s="10">
        <v>58</v>
      </c>
      <c r="D126" s="10" t="s">
        <v>25</v>
      </c>
      <c r="E126" s="10" t="s">
        <v>9</v>
      </c>
      <c r="F126" s="11">
        <v>43957</v>
      </c>
      <c r="G126" s="10">
        <v>26</v>
      </c>
      <c r="H126" s="12">
        <v>215978</v>
      </c>
      <c r="I126" s="13" t="str">
        <f t="shared" si="1"/>
        <v>50-59</v>
      </c>
    </row>
    <row r="127" spans="1:9" x14ac:dyDescent="0.35">
      <c r="A127" s="9">
        <v>125</v>
      </c>
      <c r="B127" s="10">
        <v>1861</v>
      </c>
      <c r="C127" s="10">
        <v>48</v>
      </c>
      <c r="D127" s="10" t="s">
        <v>26</v>
      </c>
      <c r="E127" s="10" t="s">
        <v>10</v>
      </c>
      <c r="F127" s="11">
        <v>28952</v>
      </c>
      <c r="G127" s="10">
        <v>25</v>
      </c>
      <c r="H127" s="12">
        <v>185892</v>
      </c>
      <c r="I127" s="13" t="str">
        <f t="shared" si="1"/>
        <v>40-49</v>
      </c>
    </row>
    <row r="128" spans="1:9" x14ac:dyDescent="0.35">
      <c r="A128" s="9">
        <v>126</v>
      </c>
      <c r="B128" s="10">
        <v>1204</v>
      </c>
      <c r="C128" s="10">
        <v>40</v>
      </c>
      <c r="D128" s="10" t="s">
        <v>25</v>
      </c>
      <c r="E128" s="10" t="s">
        <v>13</v>
      </c>
      <c r="F128" s="11">
        <v>29902</v>
      </c>
      <c r="G128" s="10">
        <v>21</v>
      </c>
      <c r="H128" s="12">
        <v>158986</v>
      </c>
      <c r="I128" s="13" t="str">
        <f t="shared" si="1"/>
        <v>40-49</v>
      </c>
    </row>
    <row r="129" spans="1:9" x14ac:dyDescent="0.35">
      <c r="A129" s="9">
        <v>127</v>
      </c>
      <c r="B129" s="10">
        <v>8608</v>
      </c>
      <c r="C129" s="10">
        <v>55</v>
      </c>
      <c r="D129" s="10" t="s">
        <v>26</v>
      </c>
      <c r="E129" s="10" t="s">
        <v>8</v>
      </c>
      <c r="F129" s="11">
        <v>43164</v>
      </c>
      <c r="G129" s="10">
        <v>26</v>
      </c>
      <c r="H129" s="12">
        <v>202823</v>
      </c>
      <c r="I129" s="13" t="str">
        <f t="shared" si="1"/>
        <v>50-59</v>
      </c>
    </row>
    <row r="130" spans="1:9" x14ac:dyDescent="0.35">
      <c r="A130" s="9">
        <v>128</v>
      </c>
      <c r="B130" s="10">
        <v>9278</v>
      </c>
      <c r="C130" s="10">
        <v>56</v>
      </c>
      <c r="D130" s="10" t="s">
        <v>25</v>
      </c>
      <c r="E130" s="10" t="s">
        <v>13</v>
      </c>
      <c r="F130" s="11">
        <v>30923</v>
      </c>
      <c r="G130" s="10">
        <v>25</v>
      </c>
      <c r="H130" s="12">
        <v>198549</v>
      </c>
      <c r="I130" s="13" t="str">
        <f t="shared" si="1"/>
        <v>50-59</v>
      </c>
    </row>
    <row r="131" spans="1:9" x14ac:dyDescent="0.35">
      <c r="A131" s="9">
        <v>129</v>
      </c>
      <c r="B131" s="10">
        <v>1084</v>
      </c>
      <c r="C131" s="10">
        <v>32</v>
      </c>
      <c r="D131" s="10" t="s">
        <v>26</v>
      </c>
      <c r="E131" s="10" t="s">
        <v>9</v>
      </c>
      <c r="F131" s="11">
        <v>43210</v>
      </c>
      <c r="G131" s="10">
        <v>17</v>
      </c>
      <c r="H131" s="12">
        <v>142300</v>
      </c>
      <c r="I131" s="13" t="str">
        <f t="shared" ref="I131:I194" si="2">IF(C131&lt;30,"20-29",IF(C131&lt;40,"30-39",IF(C131&lt;50,"40-49",IF(C131&lt;60,"50-59","60+"))))</f>
        <v>30-39</v>
      </c>
    </row>
    <row r="132" spans="1:9" x14ac:dyDescent="0.35">
      <c r="A132" s="9">
        <v>130</v>
      </c>
      <c r="B132" s="10">
        <v>3305</v>
      </c>
      <c r="C132" s="10">
        <v>63</v>
      </c>
      <c r="D132" s="10" t="s">
        <v>26</v>
      </c>
      <c r="E132" s="10" t="s">
        <v>14</v>
      </c>
      <c r="F132" s="11">
        <v>42630</v>
      </c>
      <c r="G132" s="10">
        <v>29</v>
      </c>
      <c r="H132" s="12">
        <v>232577</v>
      </c>
      <c r="I132" s="13" t="str">
        <f t="shared" si="2"/>
        <v>60+</v>
      </c>
    </row>
    <row r="133" spans="1:9" x14ac:dyDescent="0.35">
      <c r="A133" s="9">
        <v>131</v>
      </c>
      <c r="B133" s="10">
        <v>1262</v>
      </c>
      <c r="C133" s="10">
        <v>49</v>
      </c>
      <c r="D133" s="10" t="s">
        <v>26</v>
      </c>
      <c r="E133" s="10" t="s">
        <v>8</v>
      </c>
      <c r="F133" s="11">
        <v>37743</v>
      </c>
      <c r="G133" s="10">
        <v>24</v>
      </c>
      <c r="H133" s="12">
        <v>196293</v>
      </c>
      <c r="I133" s="13" t="str">
        <f t="shared" si="2"/>
        <v>40-49</v>
      </c>
    </row>
    <row r="134" spans="1:9" x14ac:dyDescent="0.35">
      <c r="A134" s="9">
        <v>132</v>
      </c>
      <c r="B134" s="10">
        <v>2478</v>
      </c>
      <c r="C134" s="10">
        <v>40</v>
      </c>
      <c r="D134" s="10" t="s">
        <v>25</v>
      </c>
      <c r="E134" s="10" t="s">
        <v>10</v>
      </c>
      <c r="F134" s="11">
        <v>40333</v>
      </c>
      <c r="G134" s="10">
        <v>23</v>
      </c>
      <c r="H134" s="12">
        <v>185268</v>
      </c>
      <c r="I134" s="13" t="str">
        <f t="shared" si="2"/>
        <v>40-49</v>
      </c>
    </row>
    <row r="135" spans="1:9" x14ac:dyDescent="0.35">
      <c r="A135" s="9">
        <v>133</v>
      </c>
      <c r="B135" s="10">
        <v>4357</v>
      </c>
      <c r="C135" s="10">
        <v>41</v>
      </c>
      <c r="D135" s="10" t="s">
        <v>25</v>
      </c>
      <c r="E135" s="10" t="s">
        <v>8</v>
      </c>
      <c r="F135" s="11">
        <v>42834</v>
      </c>
      <c r="G135" s="10">
        <v>20</v>
      </c>
      <c r="H135" s="12">
        <v>166636</v>
      </c>
      <c r="I135" s="13" t="str">
        <f t="shared" si="2"/>
        <v>40-49</v>
      </c>
    </row>
    <row r="136" spans="1:9" x14ac:dyDescent="0.35">
      <c r="A136" s="9">
        <v>134</v>
      </c>
      <c r="B136" s="10">
        <v>1802</v>
      </c>
      <c r="C136" s="10">
        <v>22</v>
      </c>
      <c r="D136" s="10" t="s">
        <v>25</v>
      </c>
      <c r="E136" s="10" t="s">
        <v>8</v>
      </c>
      <c r="F136" s="11">
        <v>32638</v>
      </c>
      <c r="G136" s="10">
        <v>12</v>
      </c>
      <c r="H136" s="12">
        <v>94300</v>
      </c>
      <c r="I136" s="13" t="str">
        <f t="shared" si="2"/>
        <v>20-29</v>
      </c>
    </row>
    <row r="137" spans="1:9" x14ac:dyDescent="0.35">
      <c r="A137" s="9">
        <v>135</v>
      </c>
      <c r="B137" s="10">
        <v>4666</v>
      </c>
      <c r="C137" s="10">
        <v>49</v>
      </c>
      <c r="D137" s="10" t="s">
        <v>26</v>
      </c>
      <c r="E137" s="10" t="s">
        <v>10</v>
      </c>
      <c r="F137" s="11">
        <v>41858</v>
      </c>
      <c r="G137" s="10">
        <v>25</v>
      </c>
      <c r="H137" s="12">
        <v>198827</v>
      </c>
      <c r="I137" s="13" t="str">
        <f t="shared" si="2"/>
        <v>40-49</v>
      </c>
    </row>
    <row r="138" spans="1:9" x14ac:dyDescent="0.35">
      <c r="A138" s="9">
        <v>136</v>
      </c>
      <c r="B138" s="10">
        <v>7327</v>
      </c>
      <c r="C138" s="10">
        <v>44</v>
      </c>
      <c r="D138" s="10" t="s">
        <v>26</v>
      </c>
      <c r="E138" s="10" t="s">
        <v>8</v>
      </c>
      <c r="F138" s="11">
        <v>30401</v>
      </c>
      <c r="G138" s="10">
        <v>25</v>
      </c>
      <c r="H138" s="12">
        <v>190600</v>
      </c>
      <c r="I138" s="13" t="str">
        <f t="shared" si="2"/>
        <v>40-49</v>
      </c>
    </row>
    <row r="139" spans="1:9" x14ac:dyDescent="0.35">
      <c r="A139" s="9">
        <v>137</v>
      </c>
      <c r="B139" s="10">
        <v>5722</v>
      </c>
      <c r="C139" s="10">
        <v>43</v>
      </c>
      <c r="D139" s="10" t="s">
        <v>26</v>
      </c>
      <c r="E139" s="10" t="s">
        <v>13</v>
      </c>
      <c r="F139" s="11">
        <v>30553</v>
      </c>
      <c r="G139" s="10">
        <v>24</v>
      </c>
      <c r="H139" s="12">
        <v>187430</v>
      </c>
      <c r="I139" s="13" t="str">
        <f t="shared" si="2"/>
        <v>40-49</v>
      </c>
    </row>
    <row r="140" spans="1:9" x14ac:dyDescent="0.35">
      <c r="A140" s="9">
        <v>138</v>
      </c>
      <c r="B140" s="10">
        <v>8172</v>
      </c>
      <c r="C140" s="10">
        <v>45</v>
      </c>
      <c r="D140" s="10" t="s">
        <v>25</v>
      </c>
      <c r="E140" s="10" t="s">
        <v>8</v>
      </c>
      <c r="F140" s="11">
        <v>41746</v>
      </c>
      <c r="G140" s="10">
        <v>21</v>
      </c>
      <c r="H140" s="12">
        <v>166573</v>
      </c>
      <c r="I140" s="13" t="str">
        <f t="shared" si="2"/>
        <v>40-49</v>
      </c>
    </row>
    <row r="141" spans="1:9" x14ac:dyDescent="0.35">
      <c r="A141" s="9">
        <v>139</v>
      </c>
      <c r="B141" s="10">
        <v>2391</v>
      </c>
      <c r="C141" s="10">
        <v>49</v>
      </c>
      <c r="D141" s="10" t="s">
        <v>26</v>
      </c>
      <c r="E141" s="10" t="s">
        <v>13</v>
      </c>
      <c r="F141" s="11">
        <v>33181</v>
      </c>
      <c r="G141" s="10">
        <v>22</v>
      </c>
      <c r="H141" s="12">
        <v>176961</v>
      </c>
      <c r="I141" s="13" t="str">
        <f t="shared" si="2"/>
        <v>40-49</v>
      </c>
    </row>
    <row r="142" spans="1:9" x14ac:dyDescent="0.35">
      <c r="A142" s="9">
        <v>140</v>
      </c>
      <c r="B142" s="10">
        <v>3536</v>
      </c>
      <c r="C142" s="10">
        <v>54</v>
      </c>
      <c r="D142" s="10" t="s">
        <v>26</v>
      </c>
      <c r="E142" s="10" t="s">
        <v>14</v>
      </c>
      <c r="F142" s="11">
        <v>39501</v>
      </c>
      <c r="G142" s="10">
        <v>25</v>
      </c>
      <c r="H142" s="12">
        <v>206014</v>
      </c>
      <c r="I142" s="13" t="str">
        <f t="shared" si="2"/>
        <v>50-59</v>
      </c>
    </row>
    <row r="143" spans="1:9" x14ac:dyDescent="0.35">
      <c r="A143" s="9">
        <v>141</v>
      </c>
      <c r="B143" s="10">
        <v>7770</v>
      </c>
      <c r="C143" s="10">
        <v>43</v>
      </c>
      <c r="D143" s="10" t="s">
        <v>26</v>
      </c>
      <c r="E143" s="10" t="s">
        <v>9</v>
      </c>
      <c r="F143" s="11">
        <v>27694</v>
      </c>
      <c r="G143" s="10">
        <v>21</v>
      </c>
      <c r="H143" s="12">
        <v>167653</v>
      </c>
      <c r="I143" s="13" t="str">
        <f t="shared" si="2"/>
        <v>40-49</v>
      </c>
    </row>
    <row r="144" spans="1:9" x14ac:dyDescent="0.35">
      <c r="A144" s="9">
        <v>142</v>
      </c>
      <c r="B144" s="10">
        <v>1571</v>
      </c>
      <c r="C144" s="10">
        <v>34</v>
      </c>
      <c r="D144" s="10" t="s">
        <v>25</v>
      </c>
      <c r="E144" s="10" t="s">
        <v>14</v>
      </c>
      <c r="F144" s="11">
        <v>37686</v>
      </c>
      <c r="G144" s="10">
        <v>17</v>
      </c>
      <c r="H144" s="12">
        <v>138491</v>
      </c>
      <c r="I144" s="13" t="str">
        <f t="shared" si="2"/>
        <v>30-39</v>
      </c>
    </row>
    <row r="145" spans="1:9" x14ac:dyDescent="0.35">
      <c r="A145" s="9">
        <v>143</v>
      </c>
      <c r="B145" s="10">
        <v>2558</v>
      </c>
      <c r="C145" s="10">
        <v>29</v>
      </c>
      <c r="D145" s="10" t="s">
        <v>26</v>
      </c>
      <c r="E145" s="10" t="s">
        <v>10</v>
      </c>
      <c r="F145" s="11">
        <v>27772</v>
      </c>
      <c r="G145" s="10">
        <v>14</v>
      </c>
      <c r="H145" s="12">
        <v>113663</v>
      </c>
      <c r="I145" s="13" t="str">
        <f t="shared" si="2"/>
        <v>20-29</v>
      </c>
    </row>
    <row r="146" spans="1:9" x14ac:dyDescent="0.35">
      <c r="A146" s="9">
        <v>144</v>
      </c>
      <c r="B146" s="10">
        <v>1197</v>
      </c>
      <c r="C146" s="10">
        <v>57</v>
      </c>
      <c r="D146" s="10" t="s">
        <v>26</v>
      </c>
      <c r="E146" s="10" t="s">
        <v>9</v>
      </c>
      <c r="F146" s="11">
        <v>38839</v>
      </c>
      <c r="G146" s="10">
        <v>25</v>
      </c>
      <c r="H146" s="12">
        <v>195286</v>
      </c>
      <c r="I146" s="13" t="str">
        <f t="shared" si="2"/>
        <v>50-59</v>
      </c>
    </row>
    <row r="147" spans="1:9" x14ac:dyDescent="0.35">
      <c r="A147" s="9">
        <v>145</v>
      </c>
      <c r="B147" s="10">
        <v>4842</v>
      </c>
      <c r="C147" s="10">
        <v>55</v>
      </c>
      <c r="D147" s="10" t="s">
        <v>26</v>
      </c>
      <c r="E147" s="10" t="s">
        <v>9</v>
      </c>
      <c r="F147" s="11">
        <v>35883</v>
      </c>
      <c r="G147" s="10">
        <v>27</v>
      </c>
      <c r="H147" s="12">
        <v>215637</v>
      </c>
      <c r="I147" s="13" t="str">
        <f t="shared" si="2"/>
        <v>50-59</v>
      </c>
    </row>
    <row r="148" spans="1:9" x14ac:dyDescent="0.35">
      <c r="A148" s="9">
        <v>146</v>
      </c>
      <c r="B148" s="10">
        <v>1809</v>
      </c>
      <c r="C148" s="10">
        <v>43</v>
      </c>
      <c r="D148" s="10" t="s">
        <v>26</v>
      </c>
      <c r="E148" s="10" t="s">
        <v>8</v>
      </c>
      <c r="F148" s="11">
        <v>37078</v>
      </c>
      <c r="G148" s="10">
        <v>21</v>
      </c>
      <c r="H148" s="12">
        <v>170164</v>
      </c>
      <c r="I148" s="13" t="str">
        <f t="shared" si="2"/>
        <v>40-49</v>
      </c>
    </row>
    <row r="149" spans="1:9" x14ac:dyDescent="0.35">
      <c r="A149" s="9">
        <v>147</v>
      </c>
      <c r="B149" s="10">
        <v>2304</v>
      </c>
      <c r="C149" s="10">
        <v>57</v>
      </c>
      <c r="D149" s="10" t="s">
        <v>25</v>
      </c>
      <c r="E149" s="10" t="s">
        <v>10</v>
      </c>
      <c r="F149" s="11">
        <v>33494</v>
      </c>
      <c r="G149" s="10">
        <v>30</v>
      </c>
      <c r="H149" s="12">
        <v>240851</v>
      </c>
      <c r="I149" s="13" t="str">
        <f t="shared" si="2"/>
        <v>50-59</v>
      </c>
    </row>
    <row r="150" spans="1:9" x14ac:dyDescent="0.35">
      <c r="A150" s="9">
        <v>148</v>
      </c>
      <c r="B150" s="10">
        <v>2759</v>
      </c>
      <c r="C150" s="10">
        <v>24</v>
      </c>
      <c r="D150" s="10" t="s">
        <v>25</v>
      </c>
      <c r="E150" s="10" t="s">
        <v>14</v>
      </c>
      <c r="F150" s="11">
        <v>43082</v>
      </c>
      <c r="G150" s="10">
        <v>9</v>
      </c>
      <c r="H150" s="12">
        <v>78650</v>
      </c>
      <c r="I150" s="13" t="str">
        <f t="shared" si="2"/>
        <v>20-29</v>
      </c>
    </row>
    <row r="151" spans="1:9" x14ac:dyDescent="0.35">
      <c r="A151" s="9">
        <v>149</v>
      </c>
      <c r="B151" s="10">
        <v>8278</v>
      </c>
      <c r="C151" s="10">
        <v>25</v>
      </c>
      <c r="D151" s="10" t="s">
        <v>26</v>
      </c>
      <c r="E151" s="10" t="s">
        <v>9</v>
      </c>
      <c r="F151" s="11">
        <v>30936</v>
      </c>
      <c r="G151" s="10">
        <v>13</v>
      </c>
      <c r="H151" s="12">
        <v>101767</v>
      </c>
      <c r="I151" s="13" t="str">
        <f t="shared" si="2"/>
        <v>20-29</v>
      </c>
    </row>
    <row r="152" spans="1:9" x14ac:dyDescent="0.35">
      <c r="A152" s="9">
        <v>150</v>
      </c>
      <c r="B152" s="10">
        <v>3797</v>
      </c>
      <c r="C152" s="10">
        <v>57</v>
      </c>
      <c r="D152" s="10" t="s">
        <v>25</v>
      </c>
      <c r="E152" s="10" t="s">
        <v>10</v>
      </c>
      <c r="F152" s="11">
        <v>36603</v>
      </c>
      <c r="G152" s="10">
        <v>30</v>
      </c>
      <c r="H152" s="12">
        <v>237787</v>
      </c>
      <c r="I152" s="13" t="str">
        <f t="shared" si="2"/>
        <v>50-59</v>
      </c>
    </row>
    <row r="153" spans="1:9" x14ac:dyDescent="0.35">
      <c r="A153" s="9">
        <v>151</v>
      </c>
      <c r="B153" s="10">
        <v>1475</v>
      </c>
      <c r="C153" s="10">
        <v>33</v>
      </c>
      <c r="D153" s="10" t="s">
        <v>25</v>
      </c>
      <c r="E153" s="10" t="s">
        <v>10</v>
      </c>
      <c r="F153" s="11">
        <v>28719</v>
      </c>
      <c r="G153" s="10">
        <v>15</v>
      </c>
      <c r="H153" s="12">
        <v>120289</v>
      </c>
      <c r="I153" s="13" t="str">
        <f t="shared" si="2"/>
        <v>30-39</v>
      </c>
    </row>
    <row r="154" spans="1:9" x14ac:dyDescent="0.35">
      <c r="A154" s="9">
        <v>152</v>
      </c>
      <c r="B154" s="10">
        <v>4165</v>
      </c>
      <c r="C154" s="10">
        <v>59</v>
      </c>
      <c r="D154" s="10" t="s">
        <v>26</v>
      </c>
      <c r="E154" s="10" t="s">
        <v>13</v>
      </c>
      <c r="F154" s="11">
        <v>26069</v>
      </c>
      <c r="G154" s="10">
        <v>29</v>
      </c>
      <c r="H154" s="12">
        <v>229854</v>
      </c>
      <c r="I154" s="13" t="str">
        <f t="shared" si="2"/>
        <v>50-59</v>
      </c>
    </row>
    <row r="155" spans="1:9" x14ac:dyDescent="0.35">
      <c r="A155" s="9">
        <v>153</v>
      </c>
      <c r="B155" s="10">
        <v>3292</v>
      </c>
      <c r="C155" s="10">
        <v>33</v>
      </c>
      <c r="D155" s="10" t="s">
        <v>25</v>
      </c>
      <c r="E155" s="10" t="s">
        <v>14</v>
      </c>
      <c r="F155" s="11">
        <v>42923</v>
      </c>
      <c r="G155" s="10">
        <v>16</v>
      </c>
      <c r="H155" s="12">
        <v>140462</v>
      </c>
      <c r="I155" s="13" t="str">
        <f t="shared" si="2"/>
        <v>30-39</v>
      </c>
    </row>
    <row r="156" spans="1:9" x14ac:dyDescent="0.35">
      <c r="A156" s="9">
        <v>154</v>
      </c>
      <c r="B156" s="10">
        <v>1740</v>
      </c>
      <c r="C156" s="10">
        <v>35</v>
      </c>
      <c r="D156" s="10" t="s">
        <v>26</v>
      </c>
      <c r="E156" s="10" t="s">
        <v>9</v>
      </c>
      <c r="F156" s="11">
        <v>38381</v>
      </c>
      <c r="G156" s="10">
        <v>17</v>
      </c>
      <c r="H156" s="12">
        <v>137966</v>
      </c>
      <c r="I156" s="13" t="str">
        <f t="shared" si="2"/>
        <v>30-39</v>
      </c>
    </row>
    <row r="157" spans="1:9" x14ac:dyDescent="0.35">
      <c r="A157" s="9">
        <v>155</v>
      </c>
      <c r="B157" s="10">
        <v>5139</v>
      </c>
      <c r="C157" s="10">
        <v>48</v>
      </c>
      <c r="D157" s="10" t="s">
        <v>26</v>
      </c>
      <c r="E157" s="10" t="s">
        <v>13</v>
      </c>
      <c r="F157" s="11">
        <v>30791</v>
      </c>
      <c r="G157" s="10">
        <v>26</v>
      </c>
      <c r="H157" s="12">
        <v>198685</v>
      </c>
      <c r="I157" s="13" t="str">
        <f t="shared" si="2"/>
        <v>40-49</v>
      </c>
    </row>
    <row r="158" spans="1:9" x14ac:dyDescent="0.35">
      <c r="A158" s="9">
        <v>156</v>
      </c>
      <c r="B158" s="10">
        <v>4522</v>
      </c>
      <c r="C158" s="10">
        <v>31</v>
      </c>
      <c r="D158" s="10" t="s">
        <v>25</v>
      </c>
      <c r="E158" s="10" t="s">
        <v>10</v>
      </c>
      <c r="F158" s="11">
        <v>35517</v>
      </c>
      <c r="G158" s="10">
        <v>13</v>
      </c>
      <c r="H158" s="12">
        <v>97639</v>
      </c>
      <c r="I158" s="13" t="str">
        <f t="shared" si="2"/>
        <v>30-39</v>
      </c>
    </row>
    <row r="159" spans="1:9" x14ac:dyDescent="0.35">
      <c r="A159" s="9">
        <v>157</v>
      </c>
      <c r="B159" s="10">
        <v>2227</v>
      </c>
      <c r="C159" s="10">
        <v>51</v>
      </c>
      <c r="D159" s="10" t="s">
        <v>26</v>
      </c>
      <c r="E159" s="10" t="s">
        <v>9</v>
      </c>
      <c r="F159" s="11">
        <v>28392</v>
      </c>
      <c r="G159" s="10">
        <v>27</v>
      </c>
      <c r="H159" s="12">
        <v>213234</v>
      </c>
      <c r="I159" s="13" t="str">
        <f t="shared" si="2"/>
        <v>50-59</v>
      </c>
    </row>
    <row r="160" spans="1:9" x14ac:dyDescent="0.35">
      <c r="A160" s="9">
        <v>158</v>
      </c>
      <c r="B160" s="10">
        <v>1859</v>
      </c>
      <c r="C160" s="10">
        <v>58</v>
      </c>
      <c r="D160" s="10" t="s">
        <v>26</v>
      </c>
      <c r="E160" s="10" t="s">
        <v>8</v>
      </c>
      <c r="F160" s="11">
        <v>42523</v>
      </c>
      <c r="G160" s="10">
        <v>27</v>
      </c>
      <c r="H160" s="12">
        <v>223033</v>
      </c>
      <c r="I160" s="13" t="str">
        <f t="shared" si="2"/>
        <v>50-59</v>
      </c>
    </row>
    <row r="161" spans="1:9" x14ac:dyDescent="0.35">
      <c r="A161" s="9">
        <v>159</v>
      </c>
      <c r="B161" s="10">
        <v>9580</v>
      </c>
      <c r="C161" s="10">
        <v>57</v>
      </c>
      <c r="D161" s="10" t="s">
        <v>25</v>
      </c>
      <c r="E161" s="10" t="s">
        <v>8</v>
      </c>
      <c r="F161" s="11">
        <v>37502</v>
      </c>
      <c r="G161" s="10">
        <v>30</v>
      </c>
      <c r="H161" s="12">
        <v>234249</v>
      </c>
      <c r="I161" s="13" t="str">
        <f t="shared" si="2"/>
        <v>50-59</v>
      </c>
    </row>
    <row r="162" spans="1:9" x14ac:dyDescent="0.35">
      <c r="A162" s="9">
        <v>160</v>
      </c>
      <c r="B162" s="10">
        <v>7166</v>
      </c>
      <c r="C162" s="10">
        <v>45</v>
      </c>
      <c r="D162" s="10" t="s">
        <v>26</v>
      </c>
      <c r="E162" s="10" t="s">
        <v>13</v>
      </c>
      <c r="F162" s="11">
        <v>27616</v>
      </c>
      <c r="G162" s="10">
        <v>21</v>
      </c>
      <c r="H162" s="12">
        <v>172147</v>
      </c>
      <c r="I162" s="13" t="str">
        <f t="shared" si="2"/>
        <v>40-49</v>
      </c>
    </row>
    <row r="163" spans="1:9" x14ac:dyDescent="0.35">
      <c r="A163" s="9">
        <v>161</v>
      </c>
      <c r="B163" s="10">
        <v>2383</v>
      </c>
      <c r="C163" s="10">
        <v>35</v>
      </c>
      <c r="D163" s="10" t="s">
        <v>26</v>
      </c>
      <c r="E163" s="10" t="s">
        <v>13</v>
      </c>
      <c r="F163" s="11">
        <v>26897</v>
      </c>
      <c r="G163" s="10">
        <v>14</v>
      </c>
      <c r="H163" s="12">
        <v>110715</v>
      </c>
      <c r="I163" s="13" t="str">
        <f t="shared" si="2"/>
        <v>30-39</v>
      </c>
    </row>
    <row r="164" spans="1:9" x14ac:dyDescent="0.35">
      <c r="A164" s="9">
        <v>162</v>
      </c>
      <c r="B164" s="10">
        <v>7950</v>
      </c>
      <c r="C164" s="10">
        <v>50</v>
      </c>
      <c r="D164" s="10" t="s">
        <v>26</v>
      </c>
      <c r="E164" s="10" t="s">
        <v>14</v>
      </c>
      <c r="F164" s="11">
        <v>33668</v>
      </c>
      <c r="G164" s="10">
        <v>23</v>
      </c>
      <c r="H164" s="12">
        <v>181074</v>
      </c>
      <c r="I164" s="13" t="str">
        <f t="shared" si="2"/>
        <v>50-59</v>
      </c>
    </row>
    <row r="165" spans="1:9" x14ac:dyDescent="0.35">
      <c r="A165" s="9">
        <v>163</v>
      </c>
      <c r="B165" s="10">
        <v>5231</v>
      </c>
      <c r="C165" s="10">
        <v>48</v>
      </c>
      <c r="D165" s="10" t="s">
        <v>26</v>
      </c>
      <c r="E165" s="10" t="s">
        <v>14</v>
      </c>
      <c r="F165" s="11">
        <v>40165</v>
      </c>
      <c r="G165" s="10">
        <v>22</v>
      </c>
      <c r="H165" s="12">
        <v>172103</v>
      </c>
      <c r="I165" s="13" t="str">
        <f t="shared" si="2"/>
        <v>40-49</v>
      </c>
    </row>
    <row r="166" spans="1:9" x14ac:dyDescent="0.35">
      <c r="A166" s="9">
        <v>164</v>
      </c>
      <c r="B166" s="10">
        <v>3709</v>
      </c>
      <c r="C166" s="10">
        <v>32</v>
      </c>
      <c r="D166" s="10" t="s">
        <v>25</v>
      </c>
      <c r="E166" s="10" t="s">
        <v>14</v>
      </c>
      <c r="F166" s="11">
        <v>29983</v>
      </c>
      <c r="G166" s="10">
        <v>15</v>
      </c>
      <c r="H166" s="12">
        <v>121991</v>
      </c>
      <c r="I166" s="13" t="str">
        <f t="shared" si="2"/>
        <v>30-39</v>
      </c>
    </row>
    <row r="167" spans="1:9" x14ac:dyDescent="0.35">
      <c r="A167" s="9">
        <v>165</v>
      </c>
      <c r="B167" s="10">
        <v>5077</v>
      </c>
      <c r="C167" s="10">
        <v>49</v>
      </c>
      <c r="D167" s="10" t="s">
        <v>25</v>
      </c>
      <c r="E167" s="10" t="s">
        <v>8</v>
      </c>
      <c r="F167" s="11">
        <v>28454</v>
      </c>
      <c r="G167" s="10">
        <v>20</v>
      </c>
      <c r="H167" s="12">
        <v>174787</v>
      </c>
      <c r="I167" s="13" t="str">
        <f t="shared" si="2"/>
        <v>40-49</v>
      </c>
    </row>
    <row r="168" spans="1:9" x14ac:dyDescent="0.35">
      <c r="A168" s="9">
        <v>166</v>
      </c>
      <c r="B168" s="10">
        <v>8159</v>
      </c>
      <c r="C168" s="10">
        <v>52</v>
      </c>
      <c r="D168" s="10" t="s">
        <v>25</v>
      </c>
      <c r="E168" s="10" t="s">
        <v>14</v>
      </c>
      <c r="F168" s="11">
        <v>38987</v>
      </c>
      <c r="G168" s="10">
        <v>25</v>
      </c>
      <c r="H168" s="12">
        <v>200675</v>
      </c>
      <c r="I168" s="13" t="str">
        <f t="shared" si="2"/>
        <v>50-59</v>
      </c>
    </row>
    <row r="169" spans="1:9" x14ac:dyDescent="0.35">
      <c r="A169" s="9">
        <v>167</v>
      </c>
      <c r="B169" s="10">
        <v>2327</v>
      </c>
      <c r="C169" s="10">
        <v>35</v>
      </c>
      <c r="D169" s="10" t="s">
        <v>25</v>
      </c>
      <c r="E169" s="10" t="s">
        <v>13</v>
      </c>
      <c r="F169" s="11">
        <v>26440</v>
      </c>
      <c r="G169" s="10">
        <v>17</v>
      </c>
      <c r="H169" s="12">
        <v>144719</v>
      </c>
      <c r="I169" s="13" t="str">
        <f t="shared" si="2"/>
        <v>30-39</v>
      </c>
    </row>
    <row r="170" spans="1:9" x14ac:dyDescent="0.35">
      <c r="A170" s="9">
        <v>168</v>
      </c>
      <c r="B170" s="10">
        <v>8869</v>
      </c>
      <c r="C170" s="10">
        <v>51</v>
      </c>
      <c r="D170" s="10" t="s">
        <v>25</v>
      </c>
      <c r="E170" s="10" t="s">
        <v>10</v>
      </c>
      <c r="F170" s="11">
        <v>39718</v>
      </c>
      <c r="G170" s="10">
        <v>25</v>
      </c>
      <c r="H170" s="12">
        <v>198755</v>
      </c>
      <c r="I170" s="13" t="str">
        <f t="shared" si="2"/>
        <v>50-59</v>
      </c>
    </row>
    <row r="171" spans="1:9" x14ac:dyDescent="0.35">
      <c r="A171" s="9">
        <v>169</v>
      </c>
      <c r="B171" s="10">
        <v>1184</v>
      </c>
      <c r="C171" s="10">
        <v>44</v>
      </c>
      <c r="D171" s="10" t="s">
        <v>26</v>
      </c>
      <c r="E171" s="10" t="s">
        <v>13</v>
      </c>
      <c r="F171" s="11">
        <v>36012</v>
      </c>
      <c r="G171" s="10">
        <v>19</v>
      </c>
      <c r="H171" s="12">
        <v>150320</v>
      </c>
      <c r="I171" s="13" t="str">
        <f t="shared" si="2"/>
        <v>40-49</v>
      </c>
    </row>
    <row r="172" spans="1:9" x14ac:dyDescent="0.35">
      <c r="A172" s="9">
        <v>170</v>
      </c>
      <c r="B172" s="10">
        <v>5290</v>
      </c>
      <c r="C172" s="10">
        <v>52</v>
      </c>
      <c r="D172" s="10" t="s">
        <v>26</v>
      </c>
      <c r="E172" s="10" t="s">
        <v>10</v>
      </c>
      <c r="F172" s="11">
        <v>30523</v>
      </c>
      <c r="G172" s="10">
        <v>25</v>
      </c>
      <c r="H172" s="12">
        <v>196697</v>
      </c>
      <c r="I172" s="13" t="str">
        <f t="shared" si="2"/>
        <v>50-59</v>
      </c>
    </row>
    <row r="173" spans="1:9" x14ac:dyDescent="0.35">
      <c r="A173" s="9">
        <v>171</v>
      </c>
      <c r="B173" s="10">
        <v>3041</v>
      </c>
      <c r="C173" s="10">
        <v>29</v>
      </c>
      <c r="D173" s="10" t="s">
        <v>26</v>
      </c>
      <c r="E173" s="10" t="s">
        <v>8</v>
      </c>
      <c r="F173" s="11">
        <v>30304</v>
      </c>
      <c r="G173" s="10">
        <v>16</v>
      </c>
      <c r="H173" s="12">
        <v>133598</v>
      </c>
      <c r="I173" s="13" t="str">
        <f t="shared" si="2"/>
        <v>20-29</v>
      </c>
    </row>
    <row r="174" spans="1:9" x14ac:dyDescent="0.35">
      <c r="A174" s="9">
        <v>172</v>
      </c>
      <c r="B174" s="10">
        <v>3995</v>
      </c>
      <c r="C174" s="10">
        <v>38</v>
      </c>
      <c r="D174" s="10" t="s">
        <v>25</v>
      </c>
      <c r="E174" s="10" t="s">
        <v>13</v>
      </c>
      <c r="F174" s="11">
        <v>35581</v>
      </c>
      <c r="G174" s="10">
        <v>18</v>
      </c>
      <c r="H174" s="12">
        <v>152005</v>
      </c>
      <c r="I174" s="13" t="str">
        <f t="shared" si="2"/>
        <v>30-39</v>
      </c>
    </row>
    <row r="175" spans="1:9" x14ac:dyDescent="0.35">
      <c r="A175" s="9">
        <v>173</v>
      </c>
      <c r="B175" s="10">
        <v>3870</v>
      </c>
      <c r="C175" s="10">
        <v>30</v>
      </c>
      <c r="D175" s="10" t="s">
        <v>26</v>
      </c>
      <c r="E175" s="10" t="s">
        <v>14</v>
      </c>
      <c r="F175" s="11">
        <v>32602</v>
      </c>
      <c r="G175" s="10">
        <v>17</v>
      </c>
      <c r="H175" s="12">
        <v>127810</v>
      </c>
      <c r="I175" s="13" t="str">
        <f t="shared" si="2"/>
        <v>30-39</v>
      </c>
    </row>
    <row r="176" spans="1:9" x14ac:dyDescent="0.35">
      <c r="A176" s="9">
        <v>174</v>
      </c>
      <c r="B176" s="10">
        <v>7949</v>
      </c>
      <c r="C176" s="10">
        <v>59</v>
      </c>
      <c r="D176" s="10" t="s">
        <v>25</v>
      </c>
      <c r="E176" s="10" t="s">
        <v>13</v>
      </c>
      <c r="F176" s="11">
        <v>34971</v>
      </c>
      <c r="G176" s="10">
        <v>31</v>
      </c>
      <c r="H176" s="12">
        <v>245029</v>
      </c>
      <c r="I176" s="13" t="str">
        <f t="shared" si="2"/>
        <v>50-59</v>
      </c>
    </row>
    <row r="177" spans="1:9" x14ac:dyDescent="0.35">
      <c r="A177" s="9">
        <v>175</v>
      </c>
      <c r="B177" s="10">
        <v>3635</v>
      </c>
      <c r="C177" s="10">
        <v>40</v>
      </c>
      <c r="D177" s="10" t="s">
        <v>26</v>
      </c>
      <c r="E177" s="10" t="s">
        <v>9</v>
      </c>
      <c r="F177" s="11">
        <v>43994</v>
      </c>
      <c r="G177" s="10">
        <v>20</v>
      </c>
      <c r="H177" s="12">
        <v>159567</v>
      </c>
      <c r="I177" s="13" t="str">
        <f t="shared" si="2"/>
        <v>40-49</v>
      </c>
    </row>
    <row r="178" spans="1:9" x14ac:dyDescent="0.35">
      <c r="A178" s="9">
        <v>176</v>
      </c>
      <c r="B178" s="10">
        <v>5679</v>
      </c>
      <c r="C178" s="10">
        <v>38</v>
      </c>
      <c r="D178" s="10" t="s">
        <v>26</v>
      </c>
      <c r="E178" s="10" t="s">
        <v>10</v>
      </c>
      <c r="F178" s="11">
        <v>33255</v>
      </c>
      <c r="G178" s="10">
        <v>20</v>
      </c>
      <c r="H178" s="12">
        <v>165488</v>
      </c>
      <c r="I178" s="13" t="str">
        <f t="shared" si="2"/>
        <v>30-39</v>
      </c>
    </row>
    <row r="179" spans="1:9" x14ac:dyDescent="0.35">
      <c r="A179" s="9">
        <v>177</v>
      </c>
      <c r="B179" s="10">
        <v>5525</v>
      </c>
      <c r="C179" s="10">
        <v>36</v>
      </c>
      <c r="D179" s="10" t="s">
        <v>25</v>
      </c>
      <c r="E179" s="10" t="s">
        <v>10</v>
      </c>
      <c r="F179" s="11">
        <v>38059</v>
      </c>
      <c r="G179" s="10">
        <v>18</v>
      </c>
      <c r="H179" s="12">
        <v>144373</v>
      </c>
      <c r="I179" s="13" t="str">
        <f t="shared" si="2"/>
        <v>30-39</v>
      </c>
    </row>
    <row r="180" spans="1:9" x14ac:dyDescent="0.35">
      <c r="A180" s="9">
        <v>178</v>
      </c>
      <c r="B180" s="10">
        <v>9645</v>
      </c>
      <c r="C180" s="10">
        <v>52</v>
      </c>
      <c r="D180" s="10" t="s">
        <v>25</v>
      </c>
      <c r="E180" s="10" t="s">
        <v>8</v>
      </c>
      <c r="F180" s="11">
        <v>29741</v>
      </c>
      <c r="G180" s="10">
        <v>25</v>
      </c>
      <c r="H180" s="12">
        <v>209113</v>
      </c>
      <c r="I180" s="13" t="str">
        <f t="shared" si="2"/>
        <v>50-59</v>
      </c>
    </row>
    <row r="181" spans="1:9" x14ac:dyDescent="0.35">
      <c r="A181" s="9">
        <v>179</v>
      </c>
      <c r="B181" s="10">
        <v>9968</v>
      </c>
      <c r="C181" s="10">
        <v>62</v>
      </c>
      <c r="D181" s="10" t="s">
        <v>26</v>
      </c>
      <c r="E181" s="10" t="s">
        <v>14</v>
      </c>
      <c r="F181" s="11">
        <v>38380</v>
      </c>
      <c r="G181" s="10">
        <v>29</v>
      </c>
      <c r="H181" s="12">
        <v>230159</v>
      </c>
      <c r="I181" s="13" t="str">
        <f t="shared" si="2"/>
        <v>60+</v>
      </c>
    </row>
    <row r="182" spans="1:9" x14ac:dyDescent="0.35">
      <c r="A182" s="9">
        <v>180</v>
      </c>
      <c r="B182" s="10">
        <v>3953</v>
      </c>
      <c r="C182" s="10">
        <v>62</v>
      </c>
      <c r="D182" s="10" t="s">
        <v>26</v>
      </c>
      <c r="E182" s="10" t="s">
        <v>10</v>
      </c>
      <c r="F182" s="11">
        <v>43363</v>
      </c>
      <c r="G182" s="10">
        <v>32</v>
      </c>
      <c r="H182" s="12">
        <v>242948</v>
      </c>
      <c r="I182" s="13" t="str">
        <f t="shared" si="2"/>
        <v>60+</v>
      </c>
    </row>
    <row r="183" spans="1:9" x14ac:dyDescent="0.35">
      <c r="A183" s="9">
        <v>181</v>
      </c>
      <c r="B183" s="10">
        <v>4758</v>
      </c>
      <c r="C183" s="10">
        <v>42</v>
      </c>
      <c r="D183" s="10" t="s">
        <v>25</v>
      </c>
      <c r="E183" s="10" t="s">
        <v>13</v>
      </c>
      <c r="F183" s="11">
        <v>37458</v>
      </c>
      <c r="G183" s="10">
        <v>22</v>
      </c>
      <c r="H183" s="12">
        <v>181627</v>
      </c>
      <c r="I183" s="13" t="str">
        <f t="shared" si="2"/>
        <v>40-49</v>
      </c>
    </row>
    <row r="184" spans="1:9" x14ac:dyDescent="0.35">
      <c r="A184" s="9">
        <v>182</v>
      </c>
      <c r="B184" s="10">
        <v>7427</v>
      </c>
      <c r="C184" s="10">
        <v>48</v>
      </c>
      <c r="D184" s="10" t="s">
        <v>25</v>
      </c>
      <c r="E184" s="10" t="s">
        <v>14</v>
      </c>
      <c r="F184" s="11">
        <v>32319</v>
      </c>
      <c r="G184" s="10">
        <v>24</v>
      </c>
      <c r="H184" s="12">
        <v>185708</v>
      </c>
      <c r="I184" s="13" t="str">
        <f t="shared" si="2"/>
        <v>40-49</v>
      </c>
    </row>
    <row r="185" spans="1:9" x14ac:dyDescent="0.35">
      <c r="A185" s="9">
        <v>183</v>
      </c>
      <c r="B185" s="10">
        <v>8999</v>
      </c>
      <c r="C185" s="10">
        <v>28</v>
      </c>
      <c r="D185" s="10" t="s">
        <v>26</v>
      </c>
      <c r="E185" s="10" t="s">
        <v>10</v>
      </c>
      <c r="F185" s="11">
        <v>42684</v>
      </c>
      <c r="G185" s="10">
        <v>14</v>
      </c>
      <c r="H185" s="12">
        <v>111947</v>
      </c>
      <c r="I185" s="13" t="str">
        <f t="shared" si="2"/>
        <v>20-29</v>
      </c>
    </row>
    <row r="186" spans="1:9" x14ac:dyDescent="0.35">
      <c r="A186" s="9">
        <v>184</v>
      </c>
      <c r="B186" s="10">
        <v>7658</v>
      </c>
      <c r="C186" s="10">
        <v>53</v>
      </c>
      <c r="D186" s="10" t="s">
        <v>25</v>
      </c>
      <c r="E186" s="10" t="s">
        <v>14</v>
      </c>
      <c r="F186" s="11">
        <v>26700</v>
      </c>
      <c r="G186" s="10">
        <v>26</v>
      </c>
      <c r="H186" s="12">
        <v>201058</v>
      </c>
      <c r="I186" s="13" t="str">
        <f t="shared" si="2"/>
        <v>50-59</v>
      </c>
    </row>
    <row r="187" spans="1:9" x14ac:dyDescent="0.35">
      <c r="A187" s="9">
        <v>185</v>
      </c>
      <c r="B187" s="10">
        <v>4734</v>
      </c>
      <c r="C187" s="10">
        <v>42</v>
      </c>
      <c r="D187" s="10" t="s">
        <v>26</v>
      </c>
      <c r="E187" s="10" t="s">
        <v>10</v>
      </c>
      <c r="F187" s="11">
        <v>34316</v>
      </c>
      <c r="G187" s="10">
        <v>21</v>
      </c>
      <c r="H187" s="12">
        <v>168451</v>
      </c>
      <c r="I187" s="13" t="str">
        <f t="shared" si="2"/>
        <v>40-49</v>
      </c>
    </row>
    <row r="188" spans="1:9" x14ac:dyDescent="0.35">
      <c r="A188" s="9">
        <v>186</v>
      </c>
      <c r="B188" s="10">
        <v>7336</v>
      </c>
      <c r="C188" s="10">
        <v>22</v>
      </c>
      <c r="D188" s="10" t="s">
        <v>26</v>
      </c>
      <c r="E188" s="10" t="s">
        <v>9</v>
      </c>
      <c r="F188" s="11">
        <v>34814</v>
      </c>
      <c r="G188" s="10">
        <v>8</v>
      </c>
      <c r="H188" s="12">
        <v>57732</v>
      </c>
      <c r="I188" s="13" t="str">
        <f t="shared" si="2"/>
        <v>20-29</v>
      </c>
    </row>
    <row r="189" spans="1:9" x14ac:dyDescent="0.35">
      <c r="A189" s="9">
        <v>187</v>
      </c>
      <c r="B189" s="10">
        <v>4024</v>
      </c>
      <c r="C189" s="10">
        <v>46</v>
      </c>
      <c r="D189" s="10" t="s">
        <v>26</v>
      </c>
      <c r="E189" s="10" t="s">
        <v>13</v>
      </c>
      <c r="F189" s="11">
        <v>39169</v>
      </c>
      <c r="G189" s="10">
        <v>25</v>
      </c>
      <c r="H189" s="12">
        <v>197413</v>
      </c>
      <c r="I189" s="13" t="str">
        <f t="shared" si="2"/>
        <v>40-49</v>
      </c>
    </row>
    <row r="190" spans="1:9" x14ac:dyDescent="0.35">
      <c r="A190" s="9">
        <v>188</v>
      </c>
      <c r="B190" s="10">
        <v>7752</v>
      </c>
      <c r="C190" s="10">
        <v>30</v>
      </c>
      <c r="D190" s="10" t="s">
        <v>25</v>
      </c>
      <c r="E190" s="10" t="s">
        <v>10</v>
      </c>
      <c r="F190" s="11">
        <v>27272</v>
      </c>
      <c r="G190" s="10">
        <v>16</v>
      </c>
      <c r="H190" s="12">
        <v>121722</v>
      </c>
      <c r="I190" s="13" t="str">
        <f t="shared" si="2"/>
        <v>30-39</v>
      </c>
    </row>
    <row r="191" spans="1:9" x14ac:dyDescent="0.35">
      <c r="A191" s="9">
        <v>189</v>
      </c>
      <c r="B191" s="10">
        <v>9981</v>
      </c>
      <c r="C191" s="10">
        <v>30</v>
      </c>
      <c r="D191" s="10" t="s">
        <v>26</v>
      </c>
      <c r="E191" s="10" t="s">
        <v>13</v>
      </c>
      <c r="F191" s="11">
        <v>29733</v>
      </c>
      <c r="G191" s="10">
        <v>18</v>
      </c>
      <c r="H191" s="12">
        <v>152895</v>
      </c>
      <c r="I191" s="13" t="str">
        <f t="shared" si="2"/>
        <v>30-39</v>
      </c>
    </row>
    <row r="192" spans="1:9" x14ac:dyDescent="0.35">
      <c r="A192" s="9">
        <v>190</v>
      </c>
      <c r="B192" s="10">
        <v>2003</v>
      </c>
      <c r="C192" s="10">
        <v>30</v>
      </c>
      <c r="D192" s="10" t="s">
        <v>25</v>
      </c>
      <c r="E192" s="10" t="s">
        <v>8</v>
      </c>
      <c r="F192" s="11">
        <v>41081</v>
      </c>
      <c r="G192" s="10">
        <v>14</v>
      </c>
      <c r="H192" s="12">
        <v>117925</v>
      </c>
      <c r="I192" s="13" t="str">
        <f t="shared" si="2"/>
        <v>30-39</v>
      </c>
    </row>
    <row r="193" spans="1:9" x14ac:dyDescent="0.35">
      <c r="A193" s="9">
        <v>191</v>
      </c>
      <c r="B193" s="10">
        <v>9689</v>
      </c>
      <c r="C193" s="10">
        <v>56</v>
      </c>
      <c r="D193" s="10" t="s">
        <v>26</v>
      </c>
      <c r="E193" s="10" t="s">
        <v>13</v>
      </c>
      <c r="F193" s="11">
        <v>33726</v>
      </c>
      <c r="G193" s="10">
        <v>24</v>
      </c>
      <c r="H193" s="12">
        <v>193844</v>
      </c>
      <c r="I193" s="13" t="str">
        <f t="shared" si="2"/>
        <v>50-59</v>
      </c>
    </row>
    <row r="194" spans="1:9" x14ac:dyDescent="0.35">
      <c r="A194" s="9">
        <v>192</v>
      </c>
      <c r="B194" s="10">
        <v>2869</v>
      </c>
      <c r="C194" s="10">
        <v>30</v>
      </c>
      <c r="D194" s="10" t="s">
        <v>26</v>
      </c>
      <c r="E194" s="10" t="s">
        <v>14</v>
      </c>
      <c r="F194" s="11">
        <v>26179</v>
      </c>
      <c r="G194" s="10">
        <v>14</v>
      </c>
      <c r="H194" s="12">
        <v>121879</v>
      </c>
      <c r="I194" s="13" t="str">
        <f t="shared" si="2"/>
        <v>30-39</v>
      </c>
    </row>
    <row r="195" spans="1:9" x14ac:dyDescent="0.35">
      <c r="A195" s="9">
        <v>193</v>
      </c>
      <c r="B195" s="10">
        <v>9133</v>
      </c>
      <c r="C195" s="10">
        <v>41</v>
      </c>
      <c r="D195" s="10" t="s">
        <v>26</v>
      </c>
      <c r="E195" s="10" t="s">
        <v>10</v>
      </c>
      <c r="F195" s="11">
        <v>38606</v>
      </c>
      <c r="G195" s="10">
        <v>22</v>
      </c>
      <c r="H195" s="12">
        <v>176397</v>
      </c>
      <c r="I195" s="13" t="str">
        <f t="shared" ref="I195:I258" si="3">IF(C195&lt;30,"20-29",IF(C195&lt;40,"30-39",IF(C195&lt;50,"40-49",IF(C195&lt;60,"50-59","60+"))))</f>
        <v>40-49</v>
      </c>
    </row>
    <row r="196" spans="1:9" x14ac:dyDescent="0.35">
      <c r="A196" s="9">
        <v>194</v>
      </c>
      <c r="B196" s="10">
        <v>5618</v>
      </c>
      <c r="C196" s="10">
        <v>58</v>
      </c>
      <c r="D196" s="10" t="s">
        <v>26</v>
      </c>
      <c r="E196" s="10" t="s">
        <v>14</v>
      </c>
      <c r="F196" s="11">
        <v>33609</v>
      </c>
      <c r="G196" s="10">
        <v>31</v>
      </c>
      <c r="H196" s="12">
        <v>250658</v>
      </c>
      <c r="I196" s="13" t="str">
        <f t="shared" si="3"/>
        <v>50-59</v>
      </c>
    </row>
    <row r="197" spans="1:9" x14ac:dyDescent="0.35">
      <c r="A197" s="9">
        <v>195</v>
      </c>
      <c r="B197" s="10">
        <v>2310</v>
      </c>
      <c r="C197" s="10">
        <v>47</v>
      </c>
      <c r="D197" s="10" t="s">
        <v>25</v>
      </c>
      <c r="E197" s="10" t="s">
        <v>13</v>
      </c>
      <c r="F197" s="11">
        <v>29923</v>
      </c>
      <c r="G197" s="10">
        <v>22</v>
      </c>
      <c r="H197" s="12">
        <v>176752</v>
      </c>
      <c r="I197" s="13" t="str">
        <f t="shared" si="3"/>
        <v>40-49</v>
      </c>
    </row>
    <row r="198" spans="1:9" x14ac:dyDescent="0.35">
      <c r="A198" s="9">
        <v>196</v>
      </c>
      <c r="B198" s="10">
        <v>9025</v>
      </c>
      <c r="C198" s="10">
        <v>32</v>
      </c>
      <c r="D198" s="10" t="s">
        <v>26</v>
      </c>
      <c r="E198" s="10" t="s">
        <v>10</v>
      </c>
      <c r="F198" s="11">
        <v>41421</v>
      </c>
      <c r="G198" s="10">
        <v>15</v>
      </c>
      <c r="H198" s="12">
        <v>123319</v>
      </c>
      <c r="I198" s="13" t="str">
        <f t="shared" si="3"/>
        <v>30-39</v>
      </c>
    </row>
    <row r="199" spans="1:9" x14ac:dyDescent="0.35">
      <c r="A199" s="9">
        <v>197</v>
      </c>
      <c r="B199" s="10">
        <v>2227</v>
      </c>
      <c r="C199" s="10">
        <v>60</v>
      </c>
      <c r="D199" s="10" t="s">
        <v>26</v>
      </c>
      <c r="E199" s="10" t="s">
        <v>10</v>
      </c>
      <c r="F199" s="11">
        <v>44677</v>
      </c>
      <c r="G199" s="10">
        <v>32</v>
      </c>
      <c r="H199" s="12">
        <v>258573</v>
      </c>
      <c r="I199" s="13" t="str">
        <f t="shared" si="3"/>
        <v>60+</v>
      </c>
    </row>
    <row r="200" spans="1:9" x14ac:dyDescent="0.35">
      <c r="A200" s="9">
        <v>198</v>
      </c>
      <c r="B200" s="10">
        <v>2996</v>
      </c>
      <c r="C200" s="10">
        <v>42</v>
      </c>
      <c r="D200" s="10" t="s">
        <v>25</v>
      </c>
      <c r="E200" s="10" t="s">
        <v>8</v>
      </c>
      <c r="F200" s="11">
        <v>29638</v>
      </c>
      <c r="G200" s="10">
        <v>19</v>
      </c>
      <c r="H200" s="12">
        <v>150946</v>
      </c>
      <c r="I200" s="13" t="str">
        <f t="shared" si="3"/>
        <v>40-49</v>
      </c>
    </row>
    <row r="201" spans="1:9" x14ac:dyDescent="0.35">
      <c r="A201" s="9">
        <v>199</v>
      </c>
      <c r="B201" s="10">
        <v>3003</v>
      </c>
      <c r="C201" s="10">
        <v>25</v>
      </c>
      <c r="D201" s="10" t="s">
        <v>26</v>
      </c>
      <c r="E201" s="10" t="s">
        <v>13</v>
      </c>
      <c r="F201" s="11">
        <v>45197</v>
      </c>
      <c r="G201" s="10">
        <v>14</v>
      </c>
      <c r="H201" s="12">
        <v>114361</v>
      </c>
      <c r="I201" s="13" t="str">
        <f t="shared" si="3"/>
        <v>20-29</v>
      </c>
    </row>
    <row r="202" spans="1:9" x14ac:dyDescent="0.35">
      <c r="A202" s="9">
        <v>200</v>
      </c>
      <c r="B202" s="10">
        <v>7608</v>
      </c>
      <c r="C202" s="10">
        <v>63</v>
      </c>
      <c r="D202" s="10" t="s">
        <v>26</v>
      </c>
      <c r="E202" s="10" t="s">
        <v>14</v>
      </c>
      <c r="F202" s="11">
        <v>32861</v>
      </c>
      <c r="G202" s="10">
        <v>32</v>
      </c>
      <c r="H202" s="12">
        <v>257944</v>
      </c>
      <c r="I202" s="13" t="str">
        <f t="shared" si="3"/>
        <v>60+</v>
      </c>
    </row>
    <row r="203" spans="1:9" x14ac:dyDescent="0.35">
      <c r="A203" s="9">
        <v>201</v>
      </c>
      <c r="B203" s="10">
        <v>1121</v>
      </c>
      <c r="C203" s="10">
        <v>22</v>
      </c>
      <c r="D203" s="10" t="s">
        <v>25</v>
      </c>
      <c r="E203" s="10" t="s">
        <v>14</v>
      </c>
      <c r="F203" s="11">
        <v>30530</v>
      </c>
      <c r="G203" s="10">
        <v>12</v>
      </c>
      <c r="H203" s="12">
        <v>91127</v>
      </c>
      <c r="I203" s="13" t="str">
        <f t="shared" si="3"/>
        <v>20-29</v>
      </c>
    </row>
    <row r="204" spans="1:9" x14ac:dyDescent="0.35">
      <c r="A204" s="9">
        <v>202</v>
      </c>
      <c r="B204" s="10">
        <v>1838</v>
      </c>
      <c r="C204" s="10">
        <v>64</v>
      </c>
      <c r="D204" s="10" t="s">
        <v>26</v>
      </c>
      <c r="E204" s="10" t="s">
        <v>13</v>
      </c>
      <c r="F204" s="11">
        <v>41632</v>
      </c>
      <c r="G204" s="10">
        <v>34</v>
      </c>
      <c r="H204" s="12">
        <v>273400</v>
      </c>
      <c r="I204" s="13" t="str">
        <f t="shared" si="3"/>
        <v>60+</v>
      </c>
    </row>
    <row r="205" spans="1:9" x14ac:dyDescent="0.35">
      <c r="A205" s="9">
        <v>203</v>
      </c>
      <c r="B205" s="10">
        <v>6586</v>
      </c>
      <c r="C205" s="10">
        <v>46</v>
      </c>
      <c r="D205" s="10" t="s">
        <v>26</v>
      </c>
      <c r="E205" s="10" t="s">
        <v>13</v>
      </c>
      <c r="F205" s="11">
        <v>26853</v>
      </c>
      <c r="G205" s="10">
        <v>25</v>
      </c>
      <c r="H205" s="12">
        <v>196459</v>
      </c>
      <c r="I205" s="13" t="str">
        <f t="shared" si="3"/>
        <v>40-49</v>
      </c>
    </row>
    <row r="206" spans="1:9" x14ac:dyDescent="0.35">
      <c r="A206" s="9">
        <v>204</v>
      </c>
      <c r="B206" s="10">
        <v>4148</v>
      </c>
      <c r="C206" s="10">
        <v>34</v>
      </c>
      <c r="D206" s="10" t="s">
        <v>25</v>
      </c>
      <c r="E206" s="10" t="s">
        <v>10</v>
      </c>
      <c r="F206" s="11">
        <v>41953</v>
      </c>
      <c r="G206" s="10">
        <v>18</v>
      </c>
      <c r="H206" s="12">
        <v>132705</v>
      </c>
      <c r="I206" s="13" t="str">
        <f t="shared" si="3"/>
        <v>30-39</v>
      </c>
    </row>
    <row r="207" spans="1:9" x14ac:dyDescent="0.35">
      <c r="A207" s="9">
        <v>205</v>
      </c>
      <c r="B207" s="10">
        <v>6227</v>
      </c>
      <c r="C207" s="10">
        <v>61</v>
      </c>
      <c r="D207" s="10" t="s">
        <v>26</v>
      </c>
      <c r="E207" s="10" t="s">
        <v>9</v>
      </c>
      <c r="F207" s="11">
        <v>38513</v>
      </c>
      <c r="G207" s="10">
        <v>24</v>
      </c>
      <c r="H207" s="12">
        <v>192494</v>
      </c>
      <c r="I207" s="13" t="str">
        <f t="shared" si="3"/>
        <v>60+</v>
      </c>
    </row>
    <row r="208" spans="1:9" x14ac:dyDescent="0.35">
      <c r="A208" s="9">
        <v>206</v>
      </c>
      <c r="B208" s="10">
        <v>6663</v>
      </c>
      <c r="C208" s="10">
        <v>38</v>
      </c>
      <c r="D208" s="10" t="s">
        <v>26</v>
      </c>
      <c r="E208" s="10" t="s">
        <v>10</v>
      </c>
      <c r="F208" s="11">
        <v>33525</v>
      </c>
      <c r="G208" s="10">
        <v>21</v>
      </c>
      <c r="H208" s="12">
        <v>164835</v>
      </c>
      <c r="I208" s="13" t="str">
        <f t="shared" si="3"/>
        <v>30-39</v>
      </c>
    </row>
    <row r="209" spans="1:9" x14ac:dyDescent="0.35">
      <c r="A209" s="9">
        <v>207</v>
      </c>
      <c r="B209" s="10">
        <v>9650</v>
      </c>
      <c r="C209" s="10">
        <v>33</v>
      </c>
      <c r="D209" s="10" t="s">
        <v>25</v>
      </c>
      <c r="E209" s="10" t="s">
        <v>8</v>
      </c>
      <c r="F209" s="11">
        <v>28085</v>
      </c>
      <c r="G209" s="10">
        <v>15</v>
      </c>
      <c r="H209" s="12">
        <v>126137</v>
      </c>
      <c r="I209" s="13" t="str">
        <f t="shared" si="3"/>
        <v>30-39</v>
      </c>
    </row>
    <row r="210" spans="1:9" x14ac:dyDescent="0.35">
      <c r="A210" s="9">
        <v>208</v>
      </c>
      <c r="B210" s="10">
        <v>6929</v>
      </c>
      <c r="C210" s="10">
        <v>51</v>
      </c>
      <c r="D210" s="10" t="s">
        <v>26</v>
      </c>
      <c r="E210" s="10" t="s">
        <v>13</v>
      </c>
      <c r="F210" s="11">
        <v>28165</v>
      </c>
      <c r="G210" s="10">
        <v>25</v>
      </c>
      <c r="H210" s="12">
        <v>200225</v>
      </c>
      <c r="I210" s="13" t="str">
        <f t="shared" si="3"/>
        <v>50-59</v>
      </c>
    </row>
    <row r="211" spans="1:9" x14ac:dyDescent="0.35">
      <c r="A211" s="9">
        <v>209</v>
      </c>
      <c r="B211" s="10">
        <v>2863</v>
      </c>
      <c r="C211" s="10">
        <v>46</v>
      </c>
      <c r="D211" s="10" t="s">
        <v>25</v>
      </c>
      <c r="E211" s="10" t="s">
        <v>8</v>
      </c>
      <c r="F211" s="11">
        <v>39857</v>
      </c>
      <c r="G211" s="10">
        <v>25</v>
      </c>
      <c r="H211" s="12">
        <v>195891</v>
      </c>
      <c r="I211" s="13" t="str">
        <f t="shared" si="3"/>
        <v>40-49</v>
      </c>
    </row>
    <row r="212" spans="1:9" x14ac:dyDescent="0.35">
      <c r="A212" s="9">
        <v>210</v>
      </c>
      <c r="B212" s="10">
        <v>8673</v>
      </c>
      <c r="C212" s="10">
        <v>44</v>
      </c>
      <c r="D212" s="10" t="s">
        <v>26</v>
      </c>
      <c r="E212" s="10" t="s">
        <v>10</v>
      </c>
      <c r="F212" s="11">
        <v>45093</v>
      </c>
      <c r="G212" s="10">
        <v>20</v>
      </c>
      <c r="H212" s="12">
        <v>156207</v>
      </c>
      <c r="I212" s="13" t="str">
        <f t="shared" si="3"/>
        <v>40-49</v>
      </c>
    </row>
    <row r="213" spans="1:9" x14ac:dyDescent="0.35">
      <c r="A213" s="9">
        <v>211</v>
      </c>
      <c r="B213" s="10">
        <v>2820</v>
      </c>
      <c r="C213" s="10">
        <v>28</v>
      </c>
      <c r="D213" s="10" t="s">
        <v>26</v>
      </c>
      <c r="E213" s="10" t="s">
        <v>8</v>
      </c>
      <c r="F213" s="11">
        <v>43218</v>
      </c>
      <c r="G213" s="10">
        <v>18</v>
      </c>
      <c r="H213" s="12">
        <v>135734</v>
      </c>
      <c r="I213" s="13" t="str">
        <f t="shared" si="3"/>
        <v>20-29</v>
      </c>
    </row>
    <row r="214" spans="1:9" x14ac:dyDescent="0.35">
      <c r="A214" s="9">
        <v>212</v>
      </c>
      <c r="B214" s="10">
        <v>6260</v>
      </c>
      <c r="C214" s="10">
        <v>23</v>
      </c>
      <c r="D214" s="10" t="s">
        <v>25</v>
      </c>
      <c r="E214" s="10" t="s">
        <v>9</v>
      </c>
      <c r="F214" s="11">
        <v>45367</v>
      </c>
      <c r="G214" s="10">
        <v>14</v>
      </c>
      <c r="H214" s="12">
        <v>109179</v>
      </c>
      <c r="I214" s="13" t="str">
        <f t="shared" si="3"/>
        <v>20-29</v>
      </c>
    </row>
    <row r="215" spans="1:9" x14ac:dyDescent="0.35">
      <c r="A215" s="9">
        <v>213</v>
      </c>
      <c r="B215" s="10">
        <v>5238</v>
      </c>
      <c r="C215" s="10">
        <v>48</v>
      </c>
      <c r="D215" s="10" t="s">
        <v>25</v>
      </c>
      <c r="E215" s="10" t="s">
        <v>9</v>
      </c>
      <c r="F215" s="11">
        <v>36243</v>
      </c>
      <c r="G215" s="10">
        <v>25</v>
      </c>
      <c r="H215" s="12">
        <v>197005</v>
      </c>
      <c r="I215" s="13" t="str">
        <f t="shared" si="3"/>
        <v>40-49</v>
      </c>
    </row>
    <row r="216" spans="1:9" x14ac:dyDescent="0.35">
      <c r="A216" s="9">
        <v>214</v>
      </c>
      <c r="B216" s="10">
        <v>1284</v>
      </c>
      <c r="C216" s="10">
        <v>28</v>
      </c>
      <c r="D216" s="10" t="s">
        <v>25</v>
      </c>
      <c r="E216" s="10" t="s">
        <v>9</v>
      </c>
      <c r="F216" s="11">
        <v>45069</v>
      </c>
      <c r="G216" s="10">
        <v>13</v>
      </c>
      <c r="H216" s="12">
        <v>89207</v>
      </c>
      <c r="I216" s="13" t="str">
        <f t="shared" si="3"/>
        <v>20-29</v>
      </c>
    </row>
    <row r="217" spans="1:9" x14ac:dyDescent="0.35">
      <c r="A217" s="9">
        <v>215</v>
      </c>
      <c r="B217" s="10">
        <v>3247</v>
      </c>
      <c r="C217" s="10">
        <v>34</v>
      </c>
      <c r="D217" s="10" t="s">
        <v>26</v>
      </c>
      <c r="E217" s="10" t="s">
        <v>8</v>
      </c>
      <c r="F217" s="11">
        <v>29549</v>
      </c>
      <c r="G217" s="10">
        <v>16</v>
      </c>
      <c r="H217" s="12">
        <v>138009</v>
      </c>
      <c r="I217" s="13" t="str">
        <f t="shared" si="3"/>
        <v>30-39</v>
      </c>
    </row>
    <row r="218" spans="1:9" x14ac:dyDescent="0.35">
      <c r="A218" s="9">
        <v>216</v>
      </c>
      <c r="B218" s="10">
        <v>1541</v>
      </c>
      <c r="C218" s="10">
        <v>62</v>
      </c>
      <c r="D218" s="10" t="s">
        <v>26</v>
      </c>
      <c r="E218" s="10" t="s">
        <v>14</v>
      </c>
      <c r="F218" s="11">
        <v>38322</v>
      </c>
      <c r="G218" s="10">
        <v>28</v>
      </c>
      <c r="H218" s="12">
        <v>233480</v>
      </c>
      <c r="I218" s="13" t="str">
        <f t="shared" si="3"/>
        <v>60+</v>
      </c>
    </row>
    <row r="219" spans="1:9" x14ac:dyDescent="0.35">
      <c r="A219" s="9">
        <v>217</v>
      </c>
      <c r="B219" s="10">
        <v>5004</v>
      </c>
      <c r="C219" s="10">
        <v>57</v>
      </c>
      <c r="D219" s="10" t="s">
        <v>26</v>
      </c>
      <c r="E219" s="10" t="s">
        <v>8</v>
      </c>
      <c r="F219" s="11">
        <v>41768</v>
      </c>
      <c r="G219" s="10">
        <v>26</v>
      </c>
      <c r="H219" s="12">
        <v>206244</v>
      </c>
      <c r="I219" s="13" t="str">
        <f t="shared" si="3"/>
        <v>50-59</v>
      </c>
    </row>
    <row r="220" spans="1:9" x14ac:dyDescent="0.35">
      <c r="A220" s="9">
        <v>218</v>
      </c>
      <c r="B220" s="10">
        <v>2696</v>
      </c>
      <c r="C220" s="10">
        <v>56</v>
      </c>
      <c r="D220" s="10" t="s">
        <v>26</v>
      </c>
      <c r="E220" s="10" t="s">
        <v>8</v>
      </c>
      <c r="F220" s="11">
        <v>36177</v>
      </c>
      <c r="G220" s="10">
        <v>26</v>
      </c>
      <c r="H220" s="12">
        <v>207865</v>
      </c>
      <c r="I220" s="13" t="str">
        <f t="shared" si="3"/>
        <v>50-59</v>
      </c>
    </row>
    <row r="221" spans="1:9" x14ac:dyDescent="0.35">
      <c r="A221" s="9">
        <v>219</v>
      </c>
      <c r="B221" s="10">
        <v>6407</v>
      </c>
      <c r="C221" s="10">
        <v>43</v>
      </c>
      <c r="D221" s="10" t="s">
        <v>26</v>
      </c>
      <c r="E221" s="10" t="s">
        <v>14</v>
      </c>
      <c r="F221" s="11">
        <v>28689</v>
      </c>
      <c r="G221" s="10">
        <v>21</v>
      </c>
      <c r="H221" s="12">
        <v>160057</v>
      </c>
      <c r="I221" s="13" t="str">
        <f t="shared" si="3"/>
        <v>40-49</v>
      </c>
    </row>
    <row r="222" spans="1:9" x14ac:dyDescent="0.35">
      <c r="A222" s="9">
        <v>220</v>
      </c>
      <c r="B222" s="10">
        <v>2699</v>
      </c>
      <c r="C222" s="10">
        <v>40</v>
      </c>
      <c r="D222" s="10" t="s">
        <v>26</v>
      </c>
      <c r="E222" s="10" t="s">
        <v>8</v>
      </c>
      <c r="F222" s="11">
        <v>44609</v>
      </c>
      <c r="G222" s="10">
        <v>16</v>
      </c>
      <c r="H222" s="12">
        <v>135082</v>
      </c>
      <c r="I222" s="13" t="str">
        <f t="shared" si="3"/>
        <v>40-49</v>
      </c>
    </row>
    <row r="223" spans="1:9" x14ac:dyDescent="0.35">
      <c r="A223" s="9">
        <v>221</v>
      </c>
      <c r="B223" s="10">
        <v>9383</v>
      </c>
      <c r="C223" s="10">
        <v>57</v>
      </c>
      <c r="D223" s="10" t="s">
        <v>25</v>
      </c>
      <c r="E223" s="10" t="s">
        <v>8</v>
      </c>
      <c r="F223" s="11">
        <v>37727</v>
      </c>
      <c r="G223" s="10">
        <v>25</v>
      </c>
      <c r="H223" s="12">
        <v>207482</v>
      </c>
      <c r="I223" s="13" t="str">
        <f t="shared" si="3"/>
        <v>50-59</v>
      </c>
    </row>
    <row r="224" spans="1:9" x14ac:dyDescent="0.35">
      <c r="A224" s="9">
        <v>222</v>
      </c>
      <c r="B224" s="10">
        <v>2577</v>
      </c>
      <c r="C224" s="10">
        <v>39</v>
      </c>
      <c r="D224" s="10" t="s">
        <v>25</v>
      </c>
      <c r="E224" s="10" t="s">
        <v>13</v>
      </c>
      <c r="F224" s="11">
        <v>44475</v>
      </c>
      <c r="G224" s="10">
        <v>19</v>
      </c>
      <c r="H224" s="12">
        <v>144587</v>
      </c>
      <c r="I224" s="13" t="str">
        <f t="shared" si="3"/>
        <v>30-39</v>
      </c>
    </row>
    <row r="225" spans="1:9" x14ac:dyDescent="0.35">
      <c r="A225" s="9">
        <v>223</v>
      </c>
      <c r="B225" s="10">
        <v>7746</v>
      </c>
      <c r="C225" s="10">
        <v>41</v>
      </c>
      <c r="D225" s="10" t="s">
        <v>26</v>
      </c>
      <c r="E225" s="10" t="s">
        <v>9</v>
      </c>
      <c r="F225" s="11">
        <v>27970</v>
      </c>
      <c r="G225" s="10">
        <v>22</v>
      </c>
      <c r="H225" s="12">
        <v>179459</v>
      </c>
      <c r="I225" s="13" t="str">
        <f t="shared" si="3"/>
        <v>40-49</v>
      </c>
    </row>
    <row r="226" spans="1:9" x14ac:dyDescent="0.35">
      <c r="A226" s="9">
        <v>224</v>
      </c>
      <c r="B226" s="10">
        <v>5622</v>
      </c>
      <c r="C226" s="10">
        <v>59</v>
      </c>
      <c r="D226" s="10" t="s">
        <v>25</v>
      </c>
      <c r="E226" s="10" t="s">
        <v>14</v>
      </c>
      <c r="F226" s="11">
        <v>29196</v>
      </c>
      <c r="G226" s="10">
        <v>30</v>
      </c>
      <c r="H226" s="12">
        <v>235895</v>
      </c>
      <c r="I226" s="13" t="str">
        <f t="shared" si="3"/>
        <v>50-59</v>
      </c>
    </row>
    <row r="227" spans="1:9" x14ac:dyDescent="0.35">
      <c r="A227" s="9">
        <v>225</v>
      </c>
      <c r="B227" s="10">
        <v>4002</v>
      </c>
      <c r="C227" s="10">
        <v>26</v>
      </c>
      <c r="D227" s="10" t="s">
        <v>25</v>
      </c>
      <c r="E227" s="10" t="s">
        <v>13</v>
      </c>
      <c r="F227" s="11">
        <v>38900</v>
      </c>
      <c r="G227" s="10">
        <v>17</v>
      </c>
      <c r="H227" s="12">
        <v>134299</v>
      </c>
      <c r="I227" s="13" t="str">
        <f t="shared" si="3"/>
        <v>20-29</v>
      </c>
    </row>
    <row r="228" spans="1:9" x14ac:dyDescent="0.35">
      <c r="A228" s="9">
        <v>226</v>
      </c>
      <c r="B228" s="10">
        <v>1643</v>
      </c>
      <c r="C228" s="10">
        <v>34</v>
      </c>
      <c r="D228" s="10" t="s">
        <v>26</v>
      </c>
      <c r="E228" s="10" t="s">
        <v>9</v>
      </c>
      <c r="F228" s="11">
        <v>28584</v>
      </c>
      <c r="G228" s="10">
        <v>17</v>
      </c>
      <c r="H228" s="12">
        <v>134991</v>
      </c>
      <c r="I228" s="13" t="str">
        <f t="shared" si="3"/>
        <v>30-39</v>
      </c>
    </row>
    <row r="229" spans="1:9" x14ac:dyDescent="0.35">
      <c r="A229" s="9">
        <v>227</v>
      </c>
      <c r="B229" s="10">
        <v>1459</v>
      </c>
      <c r="C229" s="10">
        <v>26</v>
      </c>
      <c r="D229" s="10" t="s">
        <v>25</v>
      </c>
      <c r="E229" s="10" t="s">
        <v>9</v>
      </c>
      <c r="F229" s="11">
        <v>44029</v>
      </c>
      <c r="G229" s="10">
        <v>11</v>
      </c>
      <c r="H229" s="12">
        <v>88841</v>
      </c>
      <c r="I229" s="13" t="str">
        <f t="shared" si="3"/>
        <v>20-29</v>
      </c>
    </row>
    <row r="230" spans="1:9" x14ac:dyDescent="0.35">
      <c r="A230" s="9">
        <v>228</v>
      </c>
      <c r="B230" s="10">
        <v>3972</v>
      </c>
      <c r="C230" s="10">
        <v>44</v>
      </c>
      <c r="D230" s="10" t="s">
        <v>25</v>
      </c>
      <c r="E230" s="10" t="s">
        <v>10</v>
      </c>
      <c r="F230" s="11">
        <v>45452</v>
      </c>
      <c r="G230" s="10">
        <v>23</v>
      </c>
      <c r="H230" s="12">
        <v>184491</v>
      </c>
      <c r="I230" s="13" t="str">
        <f t="shared" si="3"/>
        <v>40-49</v>
      </c>
    </row>
    <row r="231" spans="1:9" x14ac:dyDescent="0.35">
      <c r="A231" s="9">
        <v>229</v>
      </c>
      <c r="B231" s="10">
        <v>2714</v>
      </c>
      <c r="C231" s="10">
        <v>43</v>
      </c>
      <c r="D231" s="10" t="s">
        <v>26</v>
      </c>
      <c r="E231" s="10" t="s">
        <v>9</v>
      </c>
      <c r="F231" s="11">
        <v>35278</v>
      </c>
      <c r="G231" s="10">
        <v>20</v>
      </c>
      <c r="H231" s="12">
        <v>154542</v>
      </c>
      <c r="I231" s="13" t="str">
        <f t="shared" si="3"/>
        <v>40-49</v>
      </c>
    </row>
    <row r="232" spans="1:9" x14ac:dyDescent="0.35">
      <c r="A232" s="9">
        <v>230</v>
      </c>
      <c r="B232" s="10">
        <v>5785</v>
      </c>
      <c r="C232" s="10">
        <v>42</v>
      </c>
      <c r="D232" s="10" t="s">
        <v>25</v>
      </c>
      <c r="E232" s="10" t="s">
        <v>10</v>
      </c>
      <c r="F232" s="11">
        <v>39347</v>
      </c>
      <c r="G232" s="10">
        <v>20</v>
      </c>
      <c r="H232" s="12">
        <v>158115</v>
      </c>
      <c r="I232" s="13" t="str">
        <f t="shared" si="3"/>
        <v>40-49</v>
      </c>
    </row>
    <row r="233" spans="1:9" x14ac:dyDescent="0.35">
      <c r="A233" s="9">
        <v>231</v>
      </c>
      <c r="B233" s="10">
        <v>5746</v>
      </c>
      <c r="C233" s="10">
        <v>36</v>
      </c>
      <c r="D233" s="10" t="s">
        <v>25</v>
      </c>
      <c r="E233" s="10" t="s">
        <v>10</v>
      </c>
      <c r="F233" s="11">
        <v>32197</v>
      </c>
      <c r="G233" s="10">
        <v>14</v>
      </c>
      <c r="H233" s="12">
        <v>113899</v>
      </c>
      <c r="I233" s="13" t="str">
        <f t="shared" si="3"/>
        <v>30-39</v>
      </c>
    </row>
    <row r="234" spans="1:9" x14ac:dyDescent="0.35">
      <c r="A234" s="9">
        <v>232</v>
      </c>
      <c r="B234" s="10">
        <v>9400</v>
      </c>
      <c r="C234" s="10">
        <v>25</v>
      </c>
      <c r="D234" s="10" t="s">
        <v>25</v>
      </c>
      <c r="E234" s="10" t="s">
        <v>9</v>
      </c>
      <c r="F234" s="11">
        <v>35473</v>
      </c>
      <c r="G234" s="10">
        <v>10</v>
      </c>
      <c r="H234" s="12">
        <v>85343</v>
      </c>
      <c r="I234" s="13" t="str">
        <f t="shared" si="3"/>
        <v>20-29</v>
      </c>
    </row>
    <row r="235" spans="1:9" x14ac:dyDescent="0.35">
      <c r="A235" s="9">
        <v>233</v>
      </c>
      <c r="B235" s="10">
        <v>4676</v>
      </c>
      <c r="C235" s="10">
        <v>36</v>
      </c>
      <c r="D235" s="10" t="s">
        <v>26</v>
      </c>
      <c r="E235" s="10" t="s">
        <v>9</v>
      </c>
      <c r="F235" s="11">
        <v>26451</v>
      </c>
      <c r="G235" s="10">
        <v>18</v>
      </c>
      <c r="H235" s="12">
        <v>139873</v>
      </c>
      <c r="I235" s="13" t="str">
        <f t="shared" si="3"/>
        <v>30-39</v>
      </c>
    </row>
    <row r="236" spans="1:9" x14ac:dyDescent="0.35">
      <c r="A236" s="9">
        <v>234</v>
      </c>
      <c r="B236" s="10">
        <v>9846</v>
      </c>
      <c r="C236" s="10">
        <v>61</v>
      </c>
      <c r="D236" s="10" t="s">
        <v>25</v>
      </c>
      <c r="E236" s="10" t="s">
        <v>9</v>
      </c>
      <c r="F236" s="11">
        <v>29533</v>
      </c>
      <c r="G236" s="10">
        <v>30</v>
      </c>
      <c r="H236" s="12">
        <v>246725</v>
      </c>
      <c r="I236" s="13" t="str">
        <f t="shared" si="3"/>
        <v>60+</v>
      </c>
    </row>
    <row r="237" spans="1:9" x14ac:dyDescent="0.35">
      <c r="A237" s="9">
        <v>235</v>
      </c>
      <c r="B237" s="10">
        <v>9108</v>
      </c>
      <c r="C237" s="10">
        <v>57</v>
      </c>
      <c r="D237" s="10" t="s">
        <v>25</v>
      </c>
      <c r="E237" s="10" t="s">
        <v>9</v>
      </c>
      <c r="F237" s="11">
        <v>41034</v>
      </c>
      <c r="G237" s="10">
        <v>27</v>
      </c>
      <c r="H237" s="12">
        <v>226201</v>
      </c>
      <c r="I237" s="13" t="str">
        <f t="shared" si="3"/>
        <v>50-59</v>
      </c>
    </row>
    <row r="238" spans="1:9" x14ac:dyDescent="0.35">
      <c r="A238" s="9">
        <v>236</v>
      </c>
      <c r="B238" s="10">
        <v>3158</v>
      </c>
      <c r="C238" s="10">
        <v>51</v>
      </c>
      <c r="D238" s="10" t="s">
        <v>26</v>
      </c>
      <c r="E238" s="10" t="s">
        <v>8</v>
      </c>
      <c r="F238" s="11">
        <v>40347</v>
      </c>
      <c r="G238" s="10">
        <v>27</v>
      </c>
      <c r="H238" s="12">
        <v>212105</v>
      </c>
      <c r="I238" s="13" t="str">
        <f t="shared" si="3"/>
        <v>50-59</v>
      </c>
    </row>
    <row r="239" spans="1:9" x14ac:dyDescent="0.35">
      <c r="A239" s="9">
        <v>237</v>
      </c>
      <c r="B239" s="10">
        <v>7361</v>
      </c>
      <c r="C239" s="10">
        <v>35</v>
      </c>
      <c r="D239" s="10" t="s">
        <v>25</v>
      </c>
      <c r="E239" s="10" t="s">
        <v>10</v>
      </c>
      <c r="F239" s="11">
        <v>26495</v>
      </c>
      <c r="G239" s="10">
        <v>18</v>
      </c>
      <c r="H239" s="12">
        <v>149179</v>
      </c>
      <c r="I239" s="13" t="str">
        <f t="shared" si="3"/>
        <v>30-39</v>
      </c>
    </row>
    <row r="240" spans="1:9" x14ac:dyDescent="0.35">
      <c r="A240" s="9">
        <v>238</v>
      </c>
      <c r="B240" s="10">
        <v>1959</v>
      </c>
      <c r="C240" s="10">
        <v>36</v>
      </c>
      <c r="D240" s="10" t="s">
        <v>25</v>
      </c>
      <c r="E240" s="10" t="s">
        <v>9</v>
      </c>
      <c r="F240" s="11">
        <v>25606</v>
      </c>
      <c r="G240" s="10">
        <v>15</v>
      </c>
      <c r="H240" s="12">
        <v>115898</v>
      </c>
      <c r="I240" s="13" t="str">
        <f t="shared" si="3"/>
        <v>30-39</v>
      </c>
    </row>
    <row r="241" spans="1:9" x14ac:dyDescent="0.35">
      <c r="A241" s="9">
        <v>239</v>
      </c>
      <c r="B241" s="10">
        <v>9340</v>
      </c>
      <c r="C241" s="10">
        <v>64</v>
      </c>
      <c r="D241" s="10" t="s">
        <v>26</v>
      </c>
      <c r="E241" s="10" t="s">
        <v>9</v>
      </c>
      <c r="F241" s="11">
        <v>29698</v>
      </c>
      <c r="G241" s="10">
        <v>30</v>
      </c>
      <c r="H241" s="12">
        <v>245207</v>
      </c>
      <c r="I241" s="13" t="str">
        <f t="shared" si="3"/>
        <v>60+</v>
      </c>
    </row>
    <row r="242" spans="1:9" x14ac:dyDescent="0.35">
      <c r="A242" s="9">
        <v>240</v>
      </c>
      <c r="B242" s="10">
        <v>9605</v>
      </c>
      <c r="C242" s="10">
        <v>48</v>
      </c>
      <c r="D242" s="10" t="s">
        <v>25</v>
      </c>
      <c r="E242" s="10" t="s">
        <v>9</v>
      </c>
      <c r="F242" s="11">
        <v>27390</v>
      </c>
      <c r="G242" s="10">
        <v>21</v>
      </c>
      <c r="H242" s="12">
        <v>163924</v>
      </c>
      <c r="I242" s="13" t="str">
        <f t="shared" si="3"/>
        <v>40-49</v>
      </c>
    </row>
    <row r="243" spans="1:9" x14ac:dyDescent="0.35">
      <c r="A243" s="9">
        <v>241</v>
      </c>
      <c r="B243" s="10">
        <v>3361</v>
      </c>
      <c r="C243" s="10">
        <v>46</v>
      </c>
      <c r="D243" s="10" t="s">
        <v>25</v>
      </c>
      <c r="E243" s="10" t="s">
        <v>10</v>
      </c>
      <c r="F243" s="11">
        <v>28903</v>
      </c>
      <c r="G243" s="10">
        <v>22</v>
      </c>
      <c r="H243" s="12">
        <v>172224</v>
      </c>
      <c r="I243" s="13" t="str">
        <f t="shared" si="3"/>
        <v>40-49</v>
      </c>
    </row>
    <row r="244" spans="1:9" x14ac:dyDescent="0.35">
      <c r="A244" s="9">
        <v>242</v>
      </c>
      <c r="B244" s="10">
        <v>4662</v>
      </c>
      <c r="C244" s="10">
        <v>38</v>
      </c>
      <c r="D244" s="10" t="s">
        <v>26</v>
      </c>
      <c r="E244" s="10" t="s">
        <v>13</v>
      </c>
      <c r="F244" s="11">
        <v>38894</v>
      </c>
      <c r="G244" s="10">
        <v>19</v>
      </c>
      <c r="H244" s="12">
        <v>144990</v>
      </c>
      <c r="I244" s="13" t="str">
        <f t="shared" si="3"/>
        <v>30-39</v>
      </c>
    </row>
    <row r="245" spans="1:9" x14ac:dyDescent="0.35">
      <c r="A245" s="9">
        <v>243</v>
      </c>
      <c r="B245" s="10">
        <v>4844</v>
      </c>
      <c r="C245" s="10">
        <v>47</v>
      </c>
      <c r="D245" s="10" t="s">
        <v>26</v>
      </c>
      <c r="E245" s="10" t="s">
        <v>9</v>
      </c>
      <c r="F245" s="11">
        <v>37052</v>
      </c>
      <c r="G245" s="10">
        <v>22</v>
      </c>
      <c r="H245" s="12">
        <v>170676</v>
      </c>
      <c r="I245" s="13" t="str">
        <f t="shared" si="3"/>
        <v>40-49</v>
      </c>
    </row>
    <row r="246" spans="1:9" x14ac:dyDescent="0.35">
      <c r="A246" s="9">
        <v>244</v>
      </c>
      <c r="B246" s="10">
        <v>6788</v>
      </c>
      <c r="C246" s="10">
        <v>39</v>
      </c>
      <c r="D246" s="10" t="s">
        <v>26</v>
      </c>
      <c r="E246" s="10" t="s">
        <v>10</v>
      </c>
      <c r="F246" s="11">
        <v>45929</v>
      </c>
      <c r="G246" s="10">
        <v>22</v>
      </c>
      <c r="H246" s="12">
        <v>181837</v>
      </c>
      <c r="I246" s="13" t="str">
        <f t="shared" si="3"/>
        <v>30-39</v>
      </c>
    </row>
    <row r="247" spans="1:9" x14ac:dyDescent="0.35">
      <c r="A247" s="9">
        <v>245</v>
      </c>
      <c r="B247" s="10">
        <v>4450</v>
      </c>
      <c r="C247" s="10">
        <v>42</v>
      </c>
      <c r="D247" s="10" t="s">
        <v>25</v>
      </c>
      <c r="E247" s="10" t="s">
        <v>14</v>
      </c>
      <c r="F247" s="11">
        <v>33415</v>
      </c>
      <c r="G247" s="10">
        <v>18</v>
      </c>
      <c r="H247" s="12">
        <v>133509</v>
      </c>
      <c r="I247" s="13" t="str">
        <f t="shared" si="3"/>
        <v>40-49</v>
      </c>
    </row>
    <row r="248" spans="1:9" x14ac:dyDescent="0.35">
      <c r="A248" s="9">
        <v>246</v>
      </c>
      <c r="B248" s="10">
        <v>9076</v>
      </c>
      <c r="C248" s="10">
        <v>58</v>
      </c>
      <c r="D248" s="10" t="s">
        <v>25</v>
      </c>
      <c r="E248" s="10" t="s">
        <v>13</v>
      </c>
      <c r="F248" s="11">
        <v>31168</v>
      </c>
      <c r="G248" s="10">
        <v>29</v>
      </c>
      <c r="H248" s="12">
        <v>234402</v>
      </c>
      <c r="I248" s="13" t="str">
        <f t="shared" si="3"/>
        <v>50-59</v>
      </c>
    </row>
    <row r="249" spans="1:9" x14ac:dyDescent="0.35">
      <c r="A249" s="9">
        <v>247</v>
      </c>
      <c r="B249" s="10">
        <v>8936</v>
      </c>
      <c r="C249" s="10">
        <v>46</v>
      </c>
      <c r="D249" s="10" t="s">
        <v>25</v>
      </c>
      <c r="E249" s="10" t="s">
        <v>10</v>
      </c>
      <c r="F249" s="11">
        <v>38360</v>
      </c>
      <c r="G249" s="10">
        <v>20</v>
      </c>
      <c r="H249" s="12">
        <v>165971</v>
      </c>
      <c r="I249" s="13" t="str">
        <f t="shared" si="3"/>
        <v>40-49</v>
      </c>
    </row>
    <row r="250" spans="1:9" x14ac:dyDescent="0.35">
      <c r="A250" s="9">
        <v>248</v>
      </c>
      <c r="B250" s="10">
        <v>3578</v>
      </c>
      <c r="C250" s="10">
        <v>31</v>
      </c>
      <c r="D250" s="10" t="s">
        <v>25</v>
      </c>
      <c r="E250" s="10" t="s">
        <v>14</v>
      </c>
      <c r="F250" s="11">
        <v>34361</v>
      </c>
      <c r="G250" s="10">
        <v>13</v>
      </c>
      <c r="H250" s="12">
        <v>105359</v>
      </c>
      <c r="I250" s="13" t="str">
        <f t="shared" si="3"/>
        <v>30-39</v>
      </c>
    </row>
    <row r="251" spans="1:9" x14ac:dyDescent="0.35">
      <c r="A251" s="9">
        <v>249</v>
      </c>
      <c r="B251" s="10">
        <v>5624</v>
      </c>
      <c r="C251" s="10">
        <v>22</v>
      </c>
      <c r="D251" s="10" t="s">
        <v>26</v>
      </c>
      <c r="E251" s="10" t="s">
        <v>14</v>
      </c>
      <c r="F251" s="11">
        <v>30364</v>
      </c>
      <c r="G251" s="10">
        <v>13</v>
      </c>
      <c r="H251" s="12">
        <v>94383</v>
      </c>
      <c r="I251" s="13" t="str">
        <f t="shared" si="3"/>
        <v>20-29</v>
      </c>
    </row>
    <row r="252" spans="1:9" x14ac:dyDescent="0.35">
      <c r="A252" s="9">
        <v>250</v>
      </c>
      <c r="B252" s="10">
        <v>3793</v>
      </c>
      <c r="C252" s="10">
        <v>51</v>
      </c>
      <c r="D252" s="10" t="s">
        <v>25</v>
      </c>
      <c r="E252" s="10" t="s">
        <v>14</v>
      </c>
      <c r="F252" s="11">
        <v>44986</v>
      </c>
      <c r="G252" s="10">
        <v>24</v>
      </c>
      <c r="H252" s="12">
        <v>198528</v>
      </c>
      <c r="I252" s="13" t="str">
        <f t="shared" si="3"/>
        <v>50-59</v>
      </c>
    </row>
    <row r="253" spans="1:9" x14ac:dyDescent="0.35">
      <c r="A253" s="9">
        <v>251</v>
      </c>
      <c r="B253" s="10">
        <v>1804</v>
      </c>
      <c r="C253" s="10">
        <v>62</v>
      </c>
      <c r="D253" s="10" t="s">
        <v>26</v>
      </c>
      <c r="E253" s="10" t="s">
        <v>14</v>
      </c>
      <c r="F253" s="11">
        <v>38657</v>
      </c>
      <c r="G253" s="10">
        <v>31</v>
      </c>
      <c r="H253" s="12">
        <v>242369</v>
      </c>
      <c r="I253" s="13" t="str">
        <f t="shared" si="3"/>
        <v>60+</v>
      </c>
    </row>
    <row r="254" spans="1:9" x14ac:dyDescent="0.35">
      <c r="A254" s="9">
        <v>252</v>
      </c>
      <c r="B254" s="10">
        <v>5169</v>
      </c>
      <c r="C254" s="10">
        <v>52</v>
      </c>
      <c r="D254" s="10" t="s">
        <v>26</v>
      </c>
      <c r="E254" s="10" t="s">
        <v>14</v>
      </c>
      <c r="F254" s="11">
        <v>39705</v>
      </c>
      <c r="G254" s="10">
        <v>23</v>
      </c>
      <c r="H254" s="12">
        <v>182226</v>
      </c>
      <c r="I254" s="13" t="str">
        <f t="shared" si="3"/>
        <v>50-59</v>
      </c>
    </row>
    <row r="255" spans="1:9" x14ac:dyDescent="0.35">
      <c r="A255" s="9">
        <v>253</v>
      </c>
      <c r="B255" s="10">
        <v>7658</v>
      </c>
      <c r="C255" s="10">
        <v>27</v>
      </c>
      <c r="D255" s="10" t="s">
        <v>25</v>
      </c>
      <c r="E255" s="10" t="s">
        <v>13</v>
      </c>
      <c r="F255" s="11">
        <v>35265</v>
      </c>
      <c r="G255" s="10">
        <v>11</v>
      </c>
      <c r="H255" s="12">
        <v>88117</v>
      </c>
      <c r="I255" s="13" t="str">
        <f t="shared" si="3"/>
        <v>20-29</v>
      </c>
    </row>
    <row r="256" spans="1:9" x14ac:dyDescent="0.35">
      <c r="A256" s="9">
        <v>254</v>
      </c>
      <c r="B256" s="10">
        <v>3417</v>
      </c>
      <c r="C256" s="10">
        <v>54</v>
      </c>
      <c r="D256" s="10" t="s">
        <v>26</v>
      </c>
      <c r="E256" s="10" t="s">
        <v>10</v>
      </c>
      <c r="F256" s="11">
        <v>37514</v>
      </c>
      <c r="G256" s="10">
        <v>30</v>
      </c>
      <c r="H256" s="12">
        <v>242515</v>
      </c>
      <c r="I256" s="13" t="str">
        <f t="shared" si="3"/>
        <v>50-59</v>
      </c>
    </row>
    <row r="257" spans="1:9" x14ac:dyDescent="0.35">
      <c r="A257" s="9">
        <v>255</v>
      </c>
      <c r="B257" s="10">
        <v>4801</v>
      </c>
      <c r="C257" s="10">
        <v>62</v>
      </c>
      <c r="D257" s="10" t="s">
        <v>25</v>
      </c>
      <c r="E257" s="10" t="s">
        <v>8</v>
      </c>
      <c r="F257" s="11">
        <v>40130</v>
      </c>
      <c r="G257" s="10">
        <v>35</v>
      </c>
      <c r="H257" s="12">
        <v>281861</v>
      </c>
      <c r="I257" s="13" t="str">
        <f t="shared" si="3"/>
        <v>60+</v>
      </c>
    </row>
    <row r="258" spans="1:9" x14ac:dyDescent="0.35">
      <c r="A258" s="9">
        <v>256</v>
      </c>
      <c r="B258" s="10">
        <v>2427</v>
      </c>
      <c r="C258" s="10">
        <v>61</v>
      </c>
      <c r="D258" s="10" t="s">
        <v>25</v>
      </c>
      <c r="E258" s="10" t="s">
        <v>14</v>
      </c>
      <c r="F258" s="11">
        <v>27643</v>
      </c>
      <c r="G258" s="10">
        <v>31</v>
      </c>
      <c r="H258" s="12">
        <v>242118</v>
      </c>
      <c r="I258" s="13" t="str">
        <f t="shared" si="3"/>
        <v>60+</v>
      </c>
    </row>
    <row r="259" spans="1:9" x14ac:dyDescent="0.35">
      <c r="A259" s="9">
        <v>257</v>
      </c>
      <c r="B259" s="10">
        <v>4976</v>
      </c>
      <c r="C259" s="10">
        <v>48</v>
      </c>
      <c r="D259" s="10" t="s">
        <v>26</v>
      </c>
      <c r="E259" s="10" t="s">
        <v>9</v>
      </c>
      <c r="F259" s="11">
        <v>39883</v>
      </c>
      <c r="G259" s="10">
        <v>26</v>
      </c>
      <c r="H259" s="12">
        <v>209490</v>
      </c>
      <c r="I259" s="13" t="str">
        <f t="shared" ref="I259:I322" si="4">IF(C259&lt;30,"20-29",IF(C259&lt;40,"30-39",IF(C259&lt;50,"40-49",IF(C259&lt;60,"50-59","60+"))))</f>
        <v>40-49</v>
      </c>
    </row>
    <row r="260" spans="1:9" x14ac:dyDescent="0.35">
      <c r="A260" s="9">
        <v>258</v>
      </c>
      <c r="B260" s="10">
        <v>2090</v>
      </c>
      <c r="C260" s="10">
        <v>26</v>
      </c>
      <c r="D260" s="10" t="s">
        <v>25</v>
      </c>
      <c r="E260" s="10" t="s">
        <v>14</v>
      </c>
      <c r="F260" s="11">
        <v>40438</v>
      </c>
      <c r="G260" s="10">
        <v>11</v>
      </c>
      <c r="H260" s="12">
        <v>89796</v>
      </c>
      <c r="I260" s="13" t="str">
        <f t="shared" si="4"/>
        <v>20-29</v>
      </c>
    </row>
    <row r="261" spans="1:9" x14ac:dyDescent="0.35">
      <c r="A261" s="9">
        <v>259</v>
      </c>
      <c r="B261" s="10">
        <v>8575</v>
      </c>
      <c r="C261" s="10">
        <v>41</v>
      </c>
      <c r="D261" s="10" t="s">
        <v>25</v>
      </c>
      <c r="E261" s="10" t="s">
        <v>8</v>
      </c>
      <c r="F261" s="11">
        <v>33323</v>
      </c>
      <c r="G261" s="10">
        <v>17</v>
      </c>
      <c r="H261" s="12">
        <v>133309</v>
      </c>
      <c r="I261" s="13" t="str">
        <f t="shared" si="4"/>
        <v>40-49</v>
      </c>
    </row>
    <row r="262" spans="1:9" x14ac:dyDescent="0.35">
      <c r="A262" s="9">
        <v>260</v>
      </c>
      <c r="B262" s="10">
        <v>6820</v>
      </c>
      <c r="C262" s="10">
        <v>61</v>
      </c>
      <c r="D262" s="10" t="s">
        <v>25</v>
      </c>
      <c r="E262" s="10" t="s">
        <v>14</v>
      </c>
      <c r="F262" s="11">
        <v>32566</v>
      </c>
      <c r="G262" s="10">
        <v>30</v>
      </c>
      <c r="H262" s="12">
        <v>242055</v>
      </c>
      <c r="I262" s="13" t="str">
        <f t="shared" si="4"/>
        <v>60+</v>
      </c>
    </row>
    <row r="263" spans="1:9" x14ac:dyDescent="0.35">
      <c r="A263" s="9">
        <v>261</v>
      </c>
      <c r="B263" s="10">
        <v>4433</v>
      </c>
      <c r="C263" s="10">
        <v>59</v>
      </c>
      <c r="D263" s="10" t="s">
        <v>25</v>
      </c>
      <c r="E263" s="10" t="s">
        <v>10</v>
      </c>
      <c r="F263" s="11">
        <v>28869</v>
      </c>
      <c r="G263" s="10">
        <v>27</v>
      </c>
      <c r="H263" s="12">
        <v>216452</v>
      </c>
      <c r="I263" s="13" t="str">
        <f t="shared" si="4"/>
        <v>50-59</v>
      </c>
    </row>
    <row r="264" spans="1:9" x14ac:dyDescent="0.35">
      <c r="A264" s="9">
        <v>262</v>
      </c>
      <c r="B264" s="10">
        <v>2245</v>
      </c>
      <c r="C264" s="10">
        <v>49</v>
      </c>
      <c r="D264" s="10" t="s">
        <v>25</v>
      </c>
      <c r="E264" s="10" t="s">
        <v>9</v>
      </c>
      <c r="F264" s="11">
        <v>33306</v>
      </c>
      <c r="G264" s="10">
        <v>23</v>
      </c>
      <c r="H264" s="12">
        <v>175322</v>
      </c>
      <c r="I264" s="13" t="str">
        <f t="shared" si="4"/>
        <v>40-49</v>
      </c>
    </row>
    <row r="265" spans="1:9" x14ac:dyDescent="0.35">
      <c r="A265" s="9">
        <v>263</v>
      </c>
      <c r="B265" s="10">
        <v>9271</v>
      </c>
      <c r="C265" s="10">
        <v>41</v>
      </c>
      <c r="D265" s="10" t="s">
        <v>26</v>
      </c>
      <c r="E265" s="10" t="s">
        <v>10</v>
      </c>
      <c r="F265" s="11">
        <v>25776</v>
      </c>
      <c r="G265" s="10">
        <v>18</v>
      </c>
      <c r="H265" s="12">
        <v>143008</v>
      </c>
      <c r="I265" s="13" t="str">
        <f t="shared" si="4"/>
        <v>40-49</v>
      </c>
    </row>
    <row r="266" spans="1:9" x14ac:dyDescent="0.35">
      <c r="A266" s="9">
        <v>264</v>
      </c>
      <c r="B266" s="10">
        <v>9654</v>
      </c>
      <c r="C266" s="10">
        <v>42</v>
      </c>
      <c r="D266" s="10" t="s">
        <v>26</v>
      </c>
      <c r="E266" s="10" t="s">
        <v>9</v>
      </c>
      <c r="F266" s="11">
        <v>45249</v>
      </c>
      <c r="G266" s="10">
        <v>23</v>
      </c>
      <c r="H266" s="12">
        <v>188585</v>
      </c>
      <c r="I266" s="13" t="str">
        <f t="shared" si="4"/>
        <v>40-49</v>
      </c>
    </row>
    <row r="267" spans="1:9" x14ac:dyDescent="0.35">
      <c r="A267" s="9">
        <v>265</v>
      </c>
      <c r="B267" s="10">
        <v>8985</v>
      </c>
      <c r="C267" s="10">
        <v>40</v>
      </c>
      <c r="D267" s="10" t="s">
        <v>26</v>
      </c>
      <c r="E267" s="10" t="s">
        <v>14</v>
      </c>
      <c r="F267" s="11">
        <v>30896</v>
      </c>
      <c r="G267" s="10">
        <v>22</v>
      </c>
      <c r="H267" s="12">
        <v>170616</v>
      </c>
      <c r="I267" s="13" t="str">
        <f t="shared" si="4"/>
        <v>40-49</v>
      </c>
    </row>
    <row r="268" spans="1:9" x14ac:dyDescent="0.35">
      <c r="A268" s="9">
        <v>266</v>
      </c>
      <c r="B268" s="10">
        <v>2461</v>
      </c>
      <c r="C268" s="10">
        <v>29</v>
      </c>
      <c r="D268" s="10" t="s">
        <v>26</v>
      </c>
      <c r="E268" s="10" t="s">
        <v>13</v>
      </c>
      <c r="F268" s="11">
        <v>42204</v>
      </c>
      <c r="G268" s="10">
        <v>10</v>
      </c>
      <c r="H268" s="12">
        <v>76240</v>
      </c>
      <c r="I268" s="13" t="str">
        <f t="shared" si="4"/>
        <v>20-29</v>
      </c>
    </row>
    <row r="269" spans="1:9" x14ac:dyDescent="0.35">
      <c r="A269" s="9">
        <v>267</v>
      </c>
      <c r="B269" s="10">
        <v>3151</v>
      </c>
      <c r="C269" s="10">
        <v>33</v>
      </c>
      <c r="D269" s="10" t="s">
        <v>26</v>
      </c>
      <c r="E269" s="10" t="s">
        <v>13</v>
      </c>
      <c r="F269" s="11">
        <v>34309</v>
      </c>
      <c r="G269" s="10">
        <v>15</v>
      </c>
      <c r="H269" s="12">
        <v>126615</v>
      </c>
      <c r="I269" s="13" t="str">
        <f t="shared" si="4"/>
        <v>30-39</v>
      </c>
    </row>
    <row r="270" spans="1:9" x14ac:dyDescent="0.35">
      <c r="A270" s="9">
        <v>268</v>
      </c>
      <c r="B270" s="10">
        <v>7639</v>
      </c>
      <c r="C270" s="10">
        <v>56</v>
      </c>
      <c r="D270" s="10" t="s">
        <v>25</v>
      </c>
      <c r="E270" s="10" t="s">
        <v>10</v>
      </c>
      <c r="F270" s="11">
        <v>25832</v>
      </c>
      <c r="G270" s="10">
        <v>28</v>
      </c>
      <c r="H270" s="12">
        <v>229698</v>
      </c>
      <c r="I270" s="13" t="str">
        <f t="shared" si="4"/>
        <v>50-59</v>
      </c>
    </row>
    <row r="271" spans="1:9" x14ac:dyDescent="0.35">
      <c r="A271" s="9">
        <v>269</v>
      </c>
      <c r="B271" s="10">
        <v>5916</v>
      </c>
      <c r="C271" s="10">
        <v>56</v>
      </c>
      <c r="D271" s="10" t="s">
        <v>25</v>
      </c>
      <c r="E271" s="10" t="s">
        <v>14</v>
      </c>
      <c r="F271" s="11">
        <v>33732</v>
      </c>
      <c r="G271" s="10">
        <v>24</v>
      </c>
      <c r="H271" s="12">
        <v>187784</v>
      </c>
      <c r="I271" s="13" t="str">
        <f t="shared" si="4"/>
        <v>50-59</v>
      </c>
    </row>
    <row r="272" spans="1:9" x14ac:dyDescent="0.35">
      <c r="A272" s="9">
        <v>270</v>
      </c>
      <c r="B272" s="10">
        <v>9431</v>
      </c>
      <c r="C272" s="10">
        <v>36</v>
      </c>
      <c r="D272" s="10" t="s">
        <v>26</v>
      </c>
      <c r="E272" s="10" t="s">
        <v>8</v>
      </c>
      <c r="F272" s="11">
        <v>40317</v>
      </c>
      <c r="G272" s="10">
        <v>16</v>
      </c>
      <c r="H272" s="12">
        <v>138129</v>
      </c>
      <c r="I272" s="13" t="str">
        <f t="shared" si="4"/>
        <v>30-39</v>
      </c>
    </row>
    <row r="273" spans="1:9" x14ac:dyDescent="0.35">
      <c r="A273" s="9">
        <v>271</v>
      </c>
      <c r="B273" s="10">
        <v>3881</v>
      </c>
      <c r="C273" s="10">
        <v>23</v>
      </c>
      <c r="D273" s="10" t="s">
        <v>26</v>
      </c>
      <c r="E273" s="10" t="s">
        <v>14</v>
      </c>
      <c r="F273" s="11">
        <v>26336</v>
      </c>
      <c r="G273" s="10">
        <v>9</v>
      </c>
      <c r="H273" s="12">
        <v>67144</v>
      </c>
      <c r="I273" s="13" t="str">
        <f t="shared" si="4"/>
        <v>20-29</v>
      </c>
    </row>
    <row r="274" spans="1:9" x14ac:dyDescent="0.35">
      <c r="A274" s="9">
        <v>272</v>
      </c>
      <c r="B274" s="10">
        <v>4413</v>
      </c>
      <c r="C274" s="10">
        <v>64</v>
      </c>
      <c r="D274" s="10" t="s">
        <v>25</v>
      </c>
      <c r="E274" s="10" t="s">
        <v>10</v>
      </c>
      <c r="F274" s="11">
        <v>38469</v>
      </c>
      <c r="G274" s="10">
        <v>29</v>
      </c>
      <c r="H274" s="12">
        <v>239949</v>
      </c>
      <c r="I274" s="13" t="str">
        <f t="shared" si="4"/>
        <v>60+</v>
      </c>
    </row>
    <row r="275" spans="1:9" x14ac:dyDescent="0.35">
      <c r="A275" s="9">
        <v>273</v>
      </c>
      <c r="B275" s="10">
        <v>6996</v>
      </c>
      <c r="C275" s="10">
        <v>50</v>
      </c>
      <c r="D275" s="10" t="s">
        <v>26</v>
      </c>
      <c r="E275" s="10" t="s">
        <v>14</v>
      </c>
      <c r="F275" s="11">
        <v>30504</v>
      </c>
      <c r="G275" s="10">
        <v>21</v>
      </c>
      <c r="H275" s="12">
        <v>179365</v>
      </c>
      <c r="I275" s="13" t="str">
        <f t="shared" si="4"/>
        <v>50-59</v>
      </c>
    </row>
    <row r="276" spans="1:9" x14ac:dyDescent="0.35">
      <c r="A276" s="9">
        <v>274</v>
      </c>
      <c r="B276" s="10">
        <v>9067</v>
      </c>
      <c r="C276" s="10">
        <v>50</v>
      </c>
      <c r="D276" s="10" t="s">
        <v>26</v>
      </c>
      <c r="E276" s="10" t="s">
        <v>10</v>
      </c>
      <c r="F276" s="11">
        <v>27018</v>
      </c>
      <c r="G276" s="10">
        <v>24</v>
      </c>
      <c r="H276" s="12">
        <v>187838</v>
      </c>
      <c r="I276" s="13" t="str">
        <f t="shared" si="4"/>
        <v>50-59</v>
      </c>
    </row>
    <row r="277" spans="1:9" x14ac:dyDescent="0.35">
      <c r="A277" s="9">
        <v>275</v>
      </c>
      <c r="B277" s="10">
        <v>7346</v>
      </c>
      <c r="C277" s="10">
        <v>25</v>
      </c>
      <c r="D277" s="10" t="s">
        <v>25</v>
      </c>
      <c r="E277" s="10" t="s">
        <v>8</v>
      </c>
      <c r="F277" s="11">
        <v>43285</v>
      </c>
      <c r="G277" s="10">
        <v>16</v>
      </c>
      <c r="H277" s="12">
        <v>132450</v>
      </c>
      <c r="I277" s="13" t="str">
        <f t="shared" si="4"/>
        <v>20-29</v>
      </c>
    </row>
    <row r="278" spans="1:9" x14ac:dyDescent="0.35">
      <c r="A278" s="9">
        <v>276</v>
      </c>
      <c r="B278" s="10">
        <v>5348</v>
      </c>
      <c r="C278" s="10">
        <v>51</v>
      </c>
      <c r="D278" s="10" t="s">
        <v>25</v>
      </c>
      <c r="E278" s="10" t="s">
        <v>14</v>
      </c>
      <c r="F278" s="11">
        <v>34080</v>
      </c>
      <c r="G278" s="10">
        <v>27</v>
      </c>
      <c r="H278" s="12">
        <v>205100</v>
      </c>
      <c r="I278" s="13" t="str">
        <f t="shared" si="4"/>
        <v>50-59</v>
      </c>
    </row>
    <row r="279" spans="1:9" x14ac:dyDescent="0.35">
      <c r="A279" s="9">
        <v>277</v>
      </c>
      <c r="B279" s="10">
        <v>8654</v>
      </c>
      <c r="C279" s="10">
        <v>33</v>
      </c>
      <c r="D279" s="10" t="s">
        <v>25</v>
      </c>
      <c r="E279" s="10" t="s">
        <v>13</v>
      </c>
      <c r="F279" s="11">
        <v>32108</v>
      </c>
      <c r="G279" s="10">
        <v>14</v>
      </c>
      <c r="H279" s="12">
        <v>116747</v>
      </c>
      <c r="I279" s="13" t="str">
        <f t="shared" si="4"/>
        <v>30-39</v>
      </c>
    </row>
    <row r="280" spans="1:9" x14ac:dyDescent="0.35">
      <c r="A280" s="9">
        <v>278</v>
      </c>
      <c r="B280" s="10">
        <v>6135</v>
      </c>
      <c r="C280" s="10">
        <v>39</v>
      </c>
      <c r="D280" s="10" t="s">
        <v>25</v>
      </c>
      <c r="E280" s="10" t="s">
        <v>14</v>
      </c>
      <c r="F280" s="11">
        <v>32578</v>
      </c>
      <c r="G280" s="10">
        <v>20</v>
      </c>
      <c r="H280" s="12">
        <v>163267</v>
      </c>
      <c r="I280" s="13" t="str">
        <f t="shared" si="4"/>
        <v>30-39</v>
      </c>
    </row>
    <row r="281" spans="1:9" x14ac:dyDescent="0.35">
      <c r="A281" s="9">
        <v>279</v>
      </c>
      <c r="B281" s="10">
        <v>9855</v>
      </c>
      <c r="C281" s="10">
        <v>52</v>
      </c>
      <c r="D281" s="10" t="s">
        <v>25</v>
      </c>
      <c r="E281" s="10" t="s">
        <v>14</v>
      </c>
      <c r="F281" s="11">
        <v>37115</v>
      </c>
      <c r="G281" s="10">
        <v>25</v>
      </c>
      <c r="H281" s="12">
        <v>201417</v>
      </c>
      <c r="I281" s="13" t="str">
        <f t="shared" si="4"/>
        <v>50-59</v>
      </c>
    </row>
    <row r="282" spans="1:9" x14ac:dyDescent="0.35">
      <c r="A282" s="9">
        <v>280</v>
      </c>
      <c r="B282" s="10">
        <v>4372</v>
      </c>
      <c r="C282" s="10">
        <v>24</v>
      </c>
      <c r="D282" s="10" t="s">
        <v>25</v>
      </c>
      <c r="E282" s="10" t="s">
        <v>14</v>
      </c>
      <c r="F282" s="11">
        <v>39425</v>
      </c>
      <c r="G282" s="10">
        <v>10</v>
      </c>
      <c r="H282" s="12">
        <v>81020</v>
      </c>
      <c r="I282" s="13" t="str">
        <f t="shared" si="4"/>
        <v>20-29</v>
      </c>
    </row>
    <row r="283" spans="1:9" x14ac:dyDescent="0.35">
      <c r="A283" s="9">
        <v>281</v>
      </c>
      <c r="B283" s="10">
        <v>5929</v>
      </c>
      <c r="C283" s="10">
        <v>54</v>
      </c>
      <c r="D283" s="10" t="s">
        <v>25</v>
      </c>
      <c r="E283" s="10" t="s">
        <v>8</v>
      </c>
      <c r="F283" s="11">
        <v>43766</v>
      </c>
      <c r="G283" s="10">
        <v>28</v>
      </c>
      <c r="H283" s="12">
        <v>223674</v>
      </c>
      <c r="I283" s="13" t="str">
        <f t="shared" si="4"/>
        <v>50-59</v>
      </c>
    </row>
    <row r="284" spans="1:9" x14ac:dyDescent="0.35">
      <c r="A284" s="9">
        <v>282</v>
      </c>
      <c r="B284" s="10">
        <v>3596</v>
      </c>
      <c r="C284" s="10">
        <v>47</v>
      </c>
      <c r="D284" s="10" t="s">
        <v>26</v>
      </c>
      <c r="E284" s="10" t="s">
        <v>9</v>
      </c>
      <c r="F284" s="11">
        <v>36206</v>
      </c>
      <c r="G284" s="10">
        <v>26</v>
      </c>
      <c r="H284" s="12">
        <v>210860</v>
      </c>
      <c r="I284" s="13" t="str">
        <f t="shared" si="4"/>
        <v>40-49</v>
      </c>
    </row>
    <row r="285" spans="1:9" x14ac:dyDescent="0.35">
      <c r="A285" s="9">
        <v>283</v>
      </c>
      <c r="B285" s="10">
        <v>5750</v>
      </c>
      <c r="C285" s="10">
        <v>43</v>
      </c>
      <c r="D285" s="10" t="s">
        <v>26</v>
      </c>
      <c r="E285" s="10" t="s">
        <v>8</v>
      </c>
      <c r="F285" s="11">
        <v>44767</v>
      </c>
      <c r="G285" s="10">
        <v>21</v>
      </c>
      <c r="H285" s="12">
        <v>166151</v>
      </c>
      <c r="I285" s="13" t="str">
        <f t="shared" si="4"/>
        <v>40-49</v>
      </c>
    </row>
    <row r="286" spans="1:9" x14ac:dyDescent="0.35">
      <c r="A286" s="9">
        <v>284</v>
      </c>
      <c r="B286" s="10">
        <v>6969</v>
      </c>
      <c r="C286" s="10">
        <v>49</v>
      </c>
      <c r="D286" s="10" t="s">
        <v>26</v>
      </c>
      <c r="E286" s="10" t="s">
        <v>9</v>
      </c>
      <c r="F286" s="11">
        <v>38161</v>
      </c>
      <c r="G286" s="10">
        <v>27</v>
      </c>
      <c r="H286" s="12">
        <v>221768</v>
      </c>
      <c r="I286" s="13" t="str">
        <f t="shared" si="4"/>
        <v>40-49</v>
      </c>
    </row>
    <row r="287" spans="1:9" x14ac:dyDescent="0.35">
      <c r="A287" s="9">
        <v>285</v>
      </c>
      <c r="B287" s="10">
        <v>9046</v>
      </c>
      <c r="C287" s="10">
        <v>61</v>
      </c>
      <c r="D287" s="10" t="s">
        <v>26</v>
      </c>
      <c r="E287" s="10" t="s">
        <v>10</v>
      </c>
      <c r="F287" s="11">
        <v>44615</v>
      </c>
      <c r="G287" s="10">
        <v>28</v>
      </c>
      <c r="H287" s="12">
        <v>228336</v>
      </c>
      <c r="I287" s="13" t="str">
        <f t="shared" si="4"/>
        <v>60+</v>
      </c>
    </row>
    <row r="288" spans="1:9" x14ac:dyDescent="0.35">
      <c r="A288" s="9">
        <v>286</v>
      </c>
      <c r="B288" s="10">
        <v>4744</v>
      </c>
      <c r="C288" s="10">
        <v>23</v>
      </c>
      <c r="D288" s="10" t="s">
        <v>25</v>
      </c>
      <c r="E288" s="10" t="s">
        <v>8</v>
      </c>
      <c r="F288" s="11">
        <v>35517</v>
      </c>
      <c r="G288" s="10">
        <v>10</v>
      </c>
      <c r="H288" s="12">
        <v>83287</v>
      </c>
      <c r="I288" s="13" t="str">
        <f t="shared" si="4"/>
        <v>20-29</v>
      </c>
    </row>
    <row r="289" spans="1:9" x14ac:dyDescent="0.35">
      <c r="A289" s="9">
        <v>287</v>
      </c>
      <c r="B289" s="10">
        <v>9279</v>
      </c>
      <c r="C289" s="10">
        <v>34</v>
      </c>
      <c r="D289" s="10" t="s">
        <v>25</v>
      </c>
      <c r="E289" s="10" t="s">
        <v>13</v>
      </c>
      <c r="F289" s="11">
        <v>25625</v>
      </c>
      <c r="G289" s="10">
        <v>14</v>
      </c>
      <c r="H289" s="12">
        <v>107405</v>
      </c>
      <c r="I289" s="13" t="str">
        <f t="shared" si="4"/>
        <v>30-39</v>
      </c>
    </row>
    <row r="290" spans="1:9" x14ac:dyDescent="0.35">
      <c r="A290" s="9">
        <v>288</v>
      </c>
      <c r="B290" s="10">
        <v>8703</v>
      </c>
      <c r="C290" s="10">
        <v>28</v>
      </c>
      <c r="D290" s="10" t="s">
        <v>26</v>
      </c>
      <c r="E290" s="10" t="s">
        <v>8</v>
      </c>
      <c r="F290" s="11">
        <v>36160</v>
      </c>
      <c r="G290" s="10">
        <v>14</v>
      </c>
      <c r="H290" s="12">
        <v>108456</v>
      </c>
      <c r="I290" s="13" t="str">
        <f t="shared" si="4"/>
        <v>20-29</v>
      </c>
    </row>
    <row r="291" spans="1:9" x14ac:dyDescent="0.35">
      <c r="A291" s="9">
        <v>289</v>
      </c>
      <c r="B291" s="10">
        <v>1390</v>
      </c>
      <c r="C291" s="10">
        <v>62</v>
      </c>
      <c r="D291" s="10" t="s">
        <v>26</v>
      </c>
      <c r="E291" s="10" t="s">
        <v>10</v>
      </c>
      <c r="F291" s="11">
        <v>39163</v>
      </c>
      <c r="G291" s="10">
        <v>34</v>
      </c>
      <c r="H291" s="12">
        <v>266769</v>
      </c>
      <c r="I291" s="13" t="str">
        <f t="shared" si="4"/>
        <v>60+</v>
      </c>
    </row>
    <row r="292" spans="1:9" x14ac:dyDescent="0.35">
      <c r="A292" s="9">
        <v>290</v>
      </c>
      <c r="B292" s="10">
        <v>3432</v>
      </c>
      <c r="C292" s="10">
        <v>60</v>
      </c>
      <c r="D292" s="10" t="s">
        <v>25</v>
      </c>
      <c r="E292" s="10" t="s">
        <v>10</v>
      </c>
      <c r="F292" s="11">
        <v>33015</v>
      </c>
      <c r="G292" s="10">
        <v>28</v>
      </c>
      <c r="H292" s="12">
        <v>220626</v>
      </c>
      <c r="I292" s="13" t="str">
        <f t="shared" si="4"/>
        <v>60+</v>
      </c>
    </row>
    <row r="293" spans="1:9" x14ac:dyDescent="0.35">
      <c r="A293" s="9">
        <v>291</v>
      </c>
      <c r="B293" s="10">
        <v>6674</v>
      </c>
      <c r="C293" s="10">
        <v>27</v>
      </c>
      <c r="D293" s="10" t="s">
        <v>26</v>
      </c>
      <c r="E293" s="10" t="s">
        <v>9</v>
      </c>
      <c r="F293" s="11">
        <v>40099</v>
      </c>
      <c r="G293" s="10">
        <v>11</v>
      </c>
      <c r="H293" s="12">
        <v>87783</v>
      </c>
      <c r="I293" s="13" t="str">
        <f t="shared" si="4"/>
        <v>20-29</v>
      </c>
    </row>
    <row r="294" spans="1:9" x14ac:dyDescent="0.35">
      <c r="A294" s="9">
        <v>292</v>
      </c>
      <c r="B294" s="10">
        <v>9406</v>
      </c>
      <c r="C294" s="10">
        <v>55</v>
      </c>
      <c r="D294" s="10" t="s">
        <v>26</v>
      </c>
      <c r="E294" s="10" t="s">
        <v>13</v>
      </c>
      <c r="F294" s="11">
        <v>36336</v>
      </c>
      <c r="G294" s="10">
        <v>28</v>
      </c>
      <c r="H294" s="12">
        <v>222819</v>
      </c>
      <c r="I294" s="13" t="str">
        <f t="shared" si="4"/>
        <v>50-59</v>
      </c>
    </row>
    <row r="295" spans="1:9" x14ac:dyDescent="0.35">
      <c r="A295" s="9">
        <v>293</v>
      </c>
      <c r="B295" s="10">
        <v>5410</v>
      </c>
      <c r="C295" s="10">
        <v>38</v>
      </c>
      <c r="D295" s="10" t="s">
        <v>25</v>
      </c>
      <c r="E295" s="10" t="s">
        <v>8</v>
      </c>
      <c r="F295" s="11">
        <v>41760</v>
      </c>
      <c r="G295" s="10">
        <v>19</v>
      </c>
      <c r="H295" s="12">
        <v>156891</v>
      </c>
      <c r="I295" s="13" t="str">
        <f t="shared" si="4"/>
        <v>30-39</v>
      </c>
    </row>
    <row r="296" spans="1:9" x14ac:dyDescent="0.35">
      <c r="A296" s="9">
        <v>294</v>
      </c>
      <c r="B296" s="10">
        <v>1985</v>
      </c>
      <c r="C296" s="10">
        <v>41</v>
      </c>
      <c r="D296" s="10" t="s">
        <v>26</v>
      </c>
      <c r="E296" s="10" t="s">
        <v>10</v>
      </c>
      <c r="F296" s="11">
        <v>45136</v>
      </c>
      <c r="G296" s="10">
        <v>20</v>
      </c>
      <c r="H296" s="12">
        <v>166454</v>
      </c>
      <c r="I296" s="13" t="str">
        <f t="shared" si="4"/>
        <v>40-49</v>
      </c>
    </row>
    <row r="297" spans="1:9" x14ac:dyDescent="0.35">
      <c r="A297" s="9">
        <v>295</v>
      </c>
      <c r="B297" s="10">
        <v>1586</v>
      </c>
      <c r="C297" s="10">
        <v>59</v>
      </c>
      <c r="D297" s="10" t="s">
        <v>25</v>
      </c>
      <c r="E297" s="10" t="s">
        <v>8</v>
      </c>
      <c r="F297" s="11">
        <v>29064</v>
      </c>
      <c r="G297" s="10">
        <v>28</v>
      </c>
      <c r="H297" s="12">
        <v>219860</v>
      </c>
      <c r="I297" s="13" t="str">
        <f t="shared" si="4"/>
        <v>50-59</v>
      </c>
    </row>
    <row r="298" spans="1:9" x14ac:dyDescent="0.35">
      <c r="A298" s="9">
        <v>296</v>
      </c>
      <c r="B298" s="10">
        <v>6512</v>
      </c>
      <c r="C298" s="10">
        <v>32</v>
      </c>
      <c r="D298" s="10" t="s">
        <v>25</v>
      </c>
      <c r="E298" s="10" t="s">
        <v>13</v>
      </c>
      <c r="F298" s="11">
        <v>29698</v>
      </c>
      <c r="G298" s="10">
        <v>14</v>
      </c>
      <c r="H298" s="12">
        <v>119827</v>
      </c>
      <c r="I298" s="13" t="str">
        <f t="shared" si="4"/>
        <v>30-39</v>
      </c>
    </row>
    <row r="299" spans="1:9" x14ac:dyDescent="0.35">
      <c r="A299" s="9">
        <v>297</v>
      </c>
      <c r="B299" s="10">
        <v>4130</v>
      </c>
      <c r="C299" s="10">
        <v>50</v>
      </c>
      <c r="D299" s="10" t="s">
        <v>26</v>
      </c>
      <c r="E299" s="10" t="s">
        <v>14</v>
      </c>
      <c r="F299" s="11">
        <v>25690</v>
      </c>
      <c r="G299" s="10">
        <v>25</v>
      </c>
      <c r="H299" s="12">
        <v>200843</v>
      </c>
      <c r="I299" s="13" t="str">
        <f t="shared" si="4"/>
        <v>50-59</v>
      </c>
    </row>
    <row r="300" spans="1:9" x14ac:dyDescent="0.35">
      <c r="A300" s="9">
        <v>298</v>
      </c>
      <c r="B300" s="10">
        <v>1545</v>
      </c>
      <c r="C300" s="10">
        <v>34</v>
      </c>
      <c r="D300" s="10" t="s">
        <v>26</v>
      </c>
      <c r="E300" s="10" t="s">
        <v>9</v>
      </c>
      <c r="F300" s="11">
        <v>42380</v>
      </c>
      <c r="G300" s="10">
        <v>17</v>
      </c>
      <c r="H300" s="12">
        <v>134412</v>
      </c>
      <c r="I300" s="13" t="str">
        <f t="shared" si="4"/>
        <v>30-39</v>
      </c>
    </row>
    <row r="301" spans="1:9" x14ac:dyDescent="0.35">
      <c r="A301" s="9">
        <v>299</v>
      </c>
      <c r="B301" s="10">
        <v>8876</v>
      </c>
      <c r="C301" s="10">
        <v>58</v>
      </c>
      <c r="D301" s="10" t="s">
        <v>26</v>
      </c>
      <c r="E301" s="10" t="s">
        <v>9</v>
      </c>
      <c r="F301" s="11">
        <v>35975</v>
      </c>
      <c r="G301" s="10">
        <v>29</v>
      </c>
      <c r="H301" s="12">
        <v>232716</v>
      </c>
      <c r="I301" s="13" t="str">
        <f t="shared" si="4"/>
        <v>50-59</v>
      </c>
    </row>
    <row r="302" spans="1:9" x14ac:dyDescent="0.35">
      <c r="A302" s="9">
        <v>300</v>
      </c>
      <c r="B302" s="10">
        <v>6444</v>
      </c>
      <c r="C302" s="10">
        <v>23</v>
      </c>
      <c r="D302" s="10" t="s">
        <v>25</v>
      </c>
      <c r="E302" s="10" t="s">
        <v>8</v>
      </c>
      <c r="F302" s="11">
        <v>29502</v>
      </c>
      <c r="G302" s="10">
        <v>13</v>
      </c>
      <c r="H302" s="12">
        <v>103933</v>
      </c>
      <c r="I302" s="13" t="str">
        <f t="shared" si="4"/>
        <v>20-29</v>
      </c>
    </row>
    <row r="303" spans="1:9" x14ac:dyDescent="0.35">
      <c r="A303" s="9">
        <v>301</v>
      </c>
      <c r="B303" s="10">
        <v>6852</v>
      </c>
      <c r="C303" s="10">
        <v>25</v>
      </c>
      <c r="D303" s="10" t="s">
        <v>25</v>
      </c>
      <c r="E303" s="10" t="s">
        <v>9</v>
      </c>
      <c r="F303" s="11">
        <v>40097</v>
      </c>
      <c r="G303" s="10">
        <v>12</v>
      </c>
      <c r="H303" s="12">
        <v>92047</v>
      </c>
      <c r="I303" s="13" t="str">
        <f t="shared" si="4"/>
        <v>20-29</v>
      </c>
    </row>
    <row r="304" spans="1:9" x14ac:dyDescent="0.35">
      <c r="A304" s="9">
        <v>302</v>
      </c>
      <c r="B304" s="10">
        <v>7321</v>
      </c>
      <c r="C304" s="10">
        <v>44</v>
      </c>
      <c r="D304" s="10" t="s">
        <v>26</v>
      </c>
      <c r="E304" s="10" t="s">
        <v>9</v>
      </c>
      <c r="F304" s="11">
        <v>41570</v>
      </c>
      <c r="G304" s="10">
        <v>22</v>
      </c>
      <c r="H304" s="12">
        <v>172886</v>
      </c>
      <c r="I304" s="13" t="str">
        <f t="shared" si="4"/>
        <v>40-49</v>
      </c>
    </row>
    <row r="305" spans="1:9" x14ac:dyDescent="0.35">
      <c r="A305" s="9">
        <v>303</v>
      </c>
      <c r="B305" s="10">
        <v>5556</v>
      </c>
      <c r="C305" s="10">
        <v>37</v>
      </c>
      <c r="D305" s="10" t="s">
        <v>26</v>
      </c>
      <c r="E305" s="10" t="s">
        <v>14</v>
      </c>
      <c r="F305" s="11">
        <v>29552</v>
      </c>
      <c r="G305" s="10">
        <v>17</v>
      </c>
      <c r="H305" s="12">
        <v>138827</v>
      </c>
      <c r="I305" s="13" t="str">
        <f t="shared" si="4"/>
        <v>30-39</v>
      </c>
    </row>
    <row r="306" spans="1:9" x14ac:dyDescent="0.35">
      <c r="A306" s="9">
        <v>304</v>
      </c>
      <c r="B306" s="10">
        <v>2377</v>
      </c>
      <c r="C306" s="10">
        <v>46</v>
      </c>
      <c r="D306" s="10" t="s">
        <v>26</v>
      </c>
      <c r="E306" s="10" t="s">
        <v>8</v>
      </c>
      <c r="F306" s="11">
        <v>39004</v>
      </c>
      <c r="G306" s="10">
        <v>22</v>
      </c>
      <c r="H306" s="12">
        <v>180896</v>
      </c>
      <c r="I306" s="13" t="str">
        <f t="shared" si="4"/>
        <v>40-49</v>
      </c>
    </row>
    <row r="307" spans="1:9" x14ac:dyDescent="0.35">
      <c r="A307" s="9">
        <v>305</v>
      </c>
      <c r="B307" s="10">
        <v>1169</v>
      </c>
      <c r="C307" s="10">
        <v>39</v>
      </c>
      <c r="D307" s="10" t="s">
        <v>25</v>
      </c>
      <c r="E307" s="10" t="s">
        <v>9</v>
      </c>
      <c r="F307" s="11">
        <v>34483</v>
      </c>
      <c r="G307" s="10">
        <v>17</v>
      </c>
      <c r="H307" s="12">
        <v>130190</v>
      </c>
      <c r="I307" s="13" t="str">
        <f t="shared" si="4"/>
        <v>30-39</v>
      </c>
    </row>
    <row r="308" spans="1:9" x14ac:dyDescent="0.35">
      <c r="A308" s="9">
        <v>306</v>
      </c>
      <c r="B308" s="10">
        <v>3130</v>
      </c>
      <c r="C308" s="10">
        <v>58</v>
      </c>
      <c r="D308" s="10" t="s">
        <v>26</v>
      </c>
      <c r="E308" s="10" t="s">
        <v>14</v>
      </c>
      <c r="F308" s="11">
        <v>25658</v>
      </c>
      <c r="G308" s="10">
        <v>26</v>
      </c>
      <c r="H308" s="12">
        <v>215277</v>
      </c>
      <c r="I308" s="13" t="str">
        <f t="shared" si="4"/>
        <v>50-59</v>
      </c>
    </row>
    <row r="309" spans="1:9" x14ac:dyDescent="0.35">
      <c r="A309" s="9">
        <v>307</v>
      </c>
      <c r="B309" s="10">
        <v>8296</v>
      </c>
      <c r="C309" s="10">
        <v>47</v>
      </c>
      <c r="D309" s="10" t="s">
        <v>26</v>
      </c>
      <c r="E309" s="10" t="s">
        <v>10</v>
      </c>
      <c r="F309" s="11">
        <v>27344</v>
      </c>
      <c r="G309" s="10">
        <v>26</v>
      </c>
      <c r="H309" s="12">
        <v>206424</v>
      </c>
      <c r="I309" s="13" t="str">
        <f t="shared" si="4"/>
        <v>40-49</v>
      </c>
    </row>
    <row r="310" spans="1:9" x14ac:dyDescent="0.35">
      <c r="A310" s="9">
        <v>308</v>
      </c>
      <c r="B310" s="10">
        <v>1465</v>
      </c>
      <c r="C310" s="10">
        <v>49</v>
      </c>
      <c r="D310" s="10" t="s">
        <v>26</v>
      </c>
      <c r="E310" s="10" t="s">
        <v>13</v>
      </c>
      <c r="F310" s="11">
        <v>39766</v>
      </c>
      <c r="G310" s="10">
        <v>23</v>
      </c>
      <c r="H310" s="12">
        <v>183184</v>
      </c>
      <c r="I310" s="13" t="str">
        <f t="shared" si="4"/>
        <v>40-49</v>
      </c>
    </row>
    <row r="311" spans="1:9" x14ac:dyDescent="0.35">
      <c r="A311" s="9">
        <v>309</v>
      </c>
      <c r="B311" s="10">
        <v>2460</v>
      </c>
      <c r="C311" s="10">
        <v>49</v>
      </c>
      <c r="D311" s="10" t="s">
        <v>25</v>
      </c>
      <c r="E311" s="10" t="s">
        <v>10</v>
      </c>
      <c r="F311" s="11">
        <v>44882</v>
      </c>
      <c r="G311" s="10">
        <v>27</v>
      </c>
      <c r="H311" s="12">
        <v>214559</v>
      </c>
      <c r="I311" s="13" t="str">
        <f t="shared" si="4"/>
        <v>40-49</v>
      </c>
    </row>
    <row r="312" spans="1:9" x14ac:dyDescent="0.35">
      <c r="A312" s="9">
        <v>310</v>
      </c>
      <c r="B312" s="10">
        <v>5218</v>
      </c>
      <c r="C312" s="10">
        <v>23</v>
      </c>
      <c r="D312" s="10" t="s">
        <v>25</v>
      </c>
      <c r="E312" s="10" t="s">
        <v>14</v>
      </c>
      <c r="F312" s="11">
        <v>41064</v>
      </c>
      <c r="G312" s="10">
        <v>13</v>
      </c>
      <c r="H312" s="12">
        <v>108976</v>
      </c>
      <c r="I312" s="13" t="str">
        <f t="shared" si="4"/>
        <v>20-29</v>
      </c>
    </row>
    <row r="313" spans="1:9" x14ac:dyDescent="0.35">
      <c r="A313" s="9">
        <v>311</v>
      </c>
      <c r="B313" s="10">
        <v>2582</v>
      </c>
      <c r="C313" s="10">
        <v>61</v>
      </c>
      <c r="D313" s="10" t="s">
        <v>25</v>
      </c>
      <c r="E313" s="10" t="s">
        <v>9</v>
      </c>
      <c r="F313" s="11">
        <v>38435</v>
      </c>
      <c r="G313" s="10">
        <v>28</v>
      </c>
      <c r="H313" s="12">
        <v>219409</v>
      </c>
      <c r="I313" s="13" t="str">
        <f t="shared" si="4"/>
        <v>60+</v>
      </c>
    </row>
    <row r="314" spans="1:9" x14ac:dyDescent="0.35">
      <c r="A314" s="9">
        <v>312</v>
      </c>
      <c r="B314" s="10">
        <v>7872</v>
      </c>
      <c r="C314" s="10">
        <v>60</v>
      </c>
      <c r="D314" s="10" t="s">
        <v>26</v>
      </c>
      <c r="E314" s="10" t="s">
        <v>13</v>
      </c>
      <c r="F314" s="11">
        <v>43143</v>
      </c>
      <c r="G314" s="10">
        <v>28</v>
      </c>
      <c r="H314" s="12">
        <v>227772</v>
      </c>
      <c r="I314" s="13" t="str">
        <f t="shared" si="4"/>
        <v>60+</v>
      </c>
    </row>
    <row r="315" spans="1:9" x14ac:dyDescent="0.35">
      <c r="A315" s="9">
        <v>313</v>
      </c>
      <c r="B315" s="10">
        <v>1548</v>
      </c>
      <c r="C315" s="10">
        <v>47</v>
      </c>
      <c r="D315" s="10" t="s">
        <v>25</v>
      </c>
      <c r="E315" s="10" t="s">
        <v>13</v>
      </c>
      <c r="F315" s="11">
        <v>26707</v>
      </c>
      <c r="G315" s="10">
        <v>21</v>
      </c>
      <c r="H315" s="12">
        <v>165170</v>
      </c>
      <c r="I315" s="13" t="str">
        <f t="shared" si="4"/>
        <v>40-49</v>
      </c>
    </row>
    <row r="316" spans="1:9" x14ac:dyDescent="0.35">
      <c r="A316" s="9">
        <v>314</v>
      </c>
      <c r="B316" s="10">
        <v>6510</v>
      </c>
      <c r="C316" s="10">
        <v>64</v>
      </c>
      <c r="D316" s="10" t="s">
        <v>25</v>
      </c>
      <c r="E316" s="10" t="s">
        <v>8</v>
      </c>
      <c r="F316" s="11">
        <v>36007</v>
      </c>
      <c r="G316" s="10">
        <v>29</v>
      </c>
      <c r="H316" s="12">
        <v>234199</v>
      </c>
      <c r="I316" s="13" t="str">
        <f t="shared" si="4"/>
        <v>60+</v>
      </c>
    </row>
    <row r="317" spans="1:9" x14ac:dyDescent="0.35">
      <c r="A317" s="9">
        <v>315</v>
      </c>
      <c r="B317" s="10">
        <v>6788</v>
      </c>
      <c r="C317" s="10">
        <v>48</v>
      </c>
      <c r="D317" s="10" t="s">
        <v>25</v>
      </c>
      <c r="E317" s="10" t="s">
        <v>8</v>
      </c>
      <c r="F317" s="11">
        <v>30833</v>
      </c>
      <c r="G317" s="10">
        <v>26</v>
      </c>
      <c r="H317" s="12">
        <v>212050</v>
      </c>
      <c r="I317" s="13" t="str">
        <f t="shared" si="4"/>
        <v>40-49</v>
      </c>
    </row>
    <row r="318" spans="1:9" x14ac:dyDescent="0.35">
      <c r="A318" s="9">
        <v>316</v>
      </c>
      <c r="B318" s="10">
        <v>7404</v>
      </c>
      <c r="C318" s="10">
        <v>54</v>
      </c>
      <c r="D318" s="10" t="s">
        <v>26</v>
      </c>
      <c r="E318" s="10" t="s">
        <v>14</v>
      </c>
      <c r="F318" s="11">
        <v>43397</v>
      </c>
      <c r="G318" s="10">
        <v>31</v>
      </c>
      <c r="H318" s="12">
        <v>249856</v>
      </c>
      <c r="I318" s="13" t="str">
        <f t="shared" si="4"/>
        <v>50-59</v>
      </c>
    </row>
    <row r="319" spans="1:9" x14ac:dyDescent="0.35">
      <c r="A319" s="9">
        <v>317</v>
      </c>
      <c r="B319" s="10">
        <v>6438</v>
      </c>
      <c r="C319" s="10">
        <v>37</v>
      </c>
      <c r="D319" s="10" t="s">
        <v>26</v>
      </c>
      <c r="E319" s="10" t="s">
        <v>10</v>
      </c>
      <c r="F319" s="11">
        <v>40253</v>
      </c>
      <c r="G319" s="10">
        <v>18</v>
      </c>
      <c r="H319" s="12">
        <v>149464</v>
      </c>
      <c r="I319" s="13" t="str">
        <f t="shared" si="4"/>
        <v>30-39</v>
      </c>
    </row>
    <row r="320" spans="1:9" x14ac:dyDescent="0.35">
      <c r="A320" s="9">
        <v>318</v>
      </c>
      <c r="B320" s="10">
        <v>4847</v>
      </c>
      <c r="C320" s="10">
        <v>37</v>
      </c>
      <c r="D320" s="10" t="s">
        <v>26</v>
      </c>
      <c r="E320" s="10" t="s">
        <v>9</v>
      </c>
      <c r="F320" s="11">
        <v>27184</v>
      </c>
      <c r="G320" s="10">
        <v>16</v>
      </c>
      <c r="H320" s="12">
        <v>124970</v>
      </c>
      <c r="I320" s="13" t="str">
        <f t="shared" si="4"/>
        <v>30-39</v>
      </c>
    </row>
    <row r="321" spans="1:9" x14ac:dyDescent="0.35">
      <c r="A321" s="9">
        <v>319</v>
      </c>
      <c r="B321" s="10">
        <v>7292</v>
      </c>
      <c r="C321" s="10">
        <v>61</v>
      </c>
      <c r="D321" s="10" t="s">
        <v>26</v>
      </c>
      <c r="E321" s="10" t="s">
        <v>13</v>
      </c>
      <c r="F321" s="11">
        <v>39194</v>
      </c>
      <c r="G321" s="10">
        <v>32</v>
      </c>
      <c r="H321" s="12">
        <v>256982</v>
      </c>
      <c r="I321" s="13" t="str">
        <f t="shared" si="4"/>
        <v>60+</v>
      </c>
    </row>
    <row r="322" spans="1:9" x14ac:dyDescent="0.35">
      <c r="A322" s="9">
        <v>320</v>
      </c>
      <c r="B322" s="10">
        <v>6925</v>
      </c>
      <c r="C322" s="10">
        <v>61</v>
      </c>
      <c r="D322" s="10" t="s">
        <v>25</v>
      </c>
      <c r="E322" s="10" t="s">
        <v>14</v>
      </c>
      <c r="F322" s="11">
        <v>30611</v>
      </c>
      <c r="G322" s="10">
        <v>31</v>
      </c>
      <c r="H322" s="12">
        <v>243928</v>
      </c>
      <c r="I322" s="13" t="str">
        <f t="shared" si="4"/>
        <v>60+</v>
      </c>
    </row>
    <row r="323" spans="1:9" x14ac:dyDescent="0.35">
      <c r="A323" s="9">
        <v>321</v>
      </c>
      <c r="B323" s="10">
        <v>2232</v>
      </c>
      <c r="C323" s="10">
        <v>46</v>
      </c>
      <c r="D323" s="10" t="s">
        <v>26</v>
      </c>
      <c r="E323" s="10" t="s">
        <v>13</v>
      </c>
      <c r="F323" s="11">
        <v>34450</v>
      </c>
      <c r="G323" s="10">
        <v>23</v>
      </c>
      <c r="H323" s="12">
        <v>189606</v>
      </c>
      <c r="I323" s="13" t="str">
        <f t="shared" ref="I323:I386" si="5">IF(C323&lt;30,"20-29",IF(C323&lt;40,"30-39",IF(C323&lt;50,"40-49",IF(C323&lt;60,"50-59","60+"))))</f>
        <v>40-49</v>
      </c>
    </row>
    <row r="324" spans="1:9" x14ac:dyDescent="0.35">
      <c r="A324" s="9">
        <v>322</v>
      </c>
      <c r="B324" s="10">
        <v>3471</v>
      </c>
      <c r="C324" s="10">
        <v>32</v>
      </c>
      <c r="D324" s="10" t="s">
        <v>25</v>
      </c>
      <c r="E324" s="10" t="s">
        <v>10</v>
      </c>
      <c r="F324" s="11">
        <v>39743</v>
      </c>
      <c r="G324" s="10">
        <v>16</v>
      </c>
      <c r="H324" s="12">
        <v>124879</v>
      </c>
      <c r="I324" s="13" t="str">
        <f t="shared" si="5"/>
        <v>30-39</v>
      </c>
    </row>
    <row r="325" spans="1:9" x14ac:dyDescent="0.35">
      <c r="A325" s="9">
        <v>323</v>
      </c>
      <c r="B325" s="10">
        <v>3537</v>
      </c>
      <c r="C325" s="10">
        <v>34</v>
      </c>
      <c r="D325" s="10" t="s">
        <v>26</v>
      </c>
      <c r="E325" s="10" t="s">
        <v>8</v>
      </c>
      <c r="F325" s="11">
        <v>43135</v>
      </c>
      <c r="G325" s="10">
        <v>15</v>
      </c>
      <c r="H325" s="12">
        <v>121239</v>
      </c>
      <c r="I325" s="13" t="str">
        <f t="shared" si="5"/>
        <v>30-39</v>
      </c>
    </row>
    <row r="326" spans="1:9" x14ac:dyDescent="0.35">
      <c r="A326" s="9">
        <v>324</v>
      </c>
      <c r="B326" s="10">
        <v>9164</v>
      </c>
      <c r="C326" s="10">
        <v>25</v>
      </c>
      <c r="D326" s="10" t="s">
        <v>25</v>
      </c>
      <c r="E326" s="10" t="s">
        <v>8</v>
      </c>
      <c r="F326" s="11">
        <v>43672</v>
      </c>
      <c r="G326" s="10">
        <v>9</v>
      </c>
      <c r="H326" s="12">
        <v>75895</v>
      </c>
      <c r="I326" s="13" t="str">
        <f t="shared" si="5"/>
        <v>20-29</v>
      </c>
    </row>
    <row r="327" spans="1:9" x14ac:dyDescent="0.35">
      <c r="A327" s="9">
        <v>325</v>
      </c>
      <c r="B327" s="10">
        <v>6318</v>
      </c>
      <c r="C327" s="10">
        <v>42</v>
      </c>
      <c r="D327" s="10" t="s">
        <v>25</v>
      </c>
      <c r="E327" s="10" t="s">
        <v>10</v>
      </c>
      <c r="F327" s="11">
        <v>29526</v>
      </c>
      <c r="G327" s="10">
        <v>22</v>
      </c>
      <c r="H327" s="12">
        <v>176472</v>
      </c>
      <c r="I327" s="13" t="str">
        <f t="shared" si="5"/>
        <v>40-49</v>
      </c>
    </row>
    <row r="328" spans="1:9" x14ac:dyDescent="0.35">
      <c r="A328" s="9">
        <v>326</v>
      </c>
      <c r="B328" s="10">
        <v>9734</v>
      </c>
      <c r="C328" s="10">
        <v>52</v>
      </c>
      <c r="D328" s="10" t="s">
        <v>26</v>
      </c>
      <c r="E328" s="10" t="s">
        <v>10</v>
      </c>
      <c r="F328" s="11">
        <v>40774</v>
      </c>
      <c r="G328" s="10">
        <v>27</v>
      </c>
      <c r="H328" s="12">
        <v>212809</v>
      </c>
      <c r="I328" s="13" t="str">
        <f t="shared" si="5"/>
        <v>50-59</v>
      </c>
    </row>
    <row r="329" spans="1:9" x14ac:dyDescent="0.35">
      <c r="A329" s="9">
        <v>327</v>
      </c>
      <c r="B329" s="10">
        <v>6820</v>
      </c>
      <c r="C329" s="10">
        <v>42</v>
      </c>
      <c r="D329" s="10" t="s">
        <v>25</v>
      </c>
      <c r="E329" s="10" t="s">
        <v>9</v>
      </c>
      <c r="F329" s="11">
        <v>29839</v>
      </c>
      <c r="G329" s="10">
        <v>20</v>
      </c>
      <c r="H329" s="12">
        <v>163828</v>
      </c>
      <c r="I329" s="13" t="str">
        <f t="shared" si="5"/>
        <v>40-49</v>
      </c>
    </row>
    <row r="330" spans="1:9" x14ac:dyDescent="0.35">
      <c r="A330" s="9">
        <v>328</v>
      </c>
      <c r="B330" s="10">
        <v>5827</v>
      </c>
      <c r="C330" s="10">
        <v>27</v>
      </c>
      <c r="D330" s="10" t="s">
        <v>25</v>
      </c>
      <c r="E330" s="10" t="s">
        <v>13</v>
      </c>
      <c r="F330" s="11">
        <v>33797</v>
      </c>
      <c r="G330" s="10">
        <v>13</v>
      </c>
      <c r="H330" s="12">
        <v>108619</v>
      </c>
      <c r="I330" s="13" t="str">
        <f t="shared" si="5"/>
        <v>20-29</v>
      </c>
    </row>
    <row r="331" spans="1:9" x14ac:dyDescent="0.35">
      <c r="A331" s="9">
        <v>329</v>
      </c>
      <c r="B331" s="10">
        <v>5708</v>
      </c>
      <c r="C331" s="10">
        <v>37</v>
      </c>
      <c r="D331" s="10" t="s">
        <v>26</v>
      </c>
      <c r="E331" s="10" t="s">
        <v>13</v>
      </c>
      <c r="F331" s="11">
        <v>32970</v>
      </c>
      <c r="G331" s="10">
        <v>19</v>
      </c>
      <c r="H331" s="12">
        <v>152992</v>
      </c>
      <c r="I331" s="13" t="str">
        <f t="shared" si="5"/>
        <v>30-39</v>
      </c>
    </row>
    <row r="332" spans="1:9" x14ac:dyDescent="0.35">
      <c r="A332" s="9">
        <v>330</v>
      </c>
      <c r="B332" s="10">
        <v>9126</v>
      </c>
      <c r="C332" s="10">
        <v>43</v>
      </c>
      <c r="D332" s="10" t="s">
        <v>25</v>
      </c>
      <c r="E332" s="10" t="s">
        <v>10</v>
      </c>
      <c r="F332" s="11">
        <v>37491</v>
      </c>
      <c r="G332" s="10">
        <v>20</v>
      </c>
      <c r="H332" s="12">
        <v>154462</v>
      </c>
      <c r="I332" s="13" t="str">
        <f t="shared" si="5"/>
        <v>40-49</v>
      </c>
    </row>
    <row r="333" spans="1:9" x14ac:dyDescent="0.35">
      <c r="A333" s="9">
        <v>331</v>
      </c>
      <c r="B333" s="10">
        <v>1862</v>
      </c>
      <c r="C333" s="10">
        <v>39</v>
      </c>
      <c r="D333" s="10" t="s">
        <v>26</v>
      </c>
      <c r="E333" s="10" t="s">
        <v>9</v>
      </c>
      <c r="F333" s="11">
        <v>42730</v>
      </c>
      <c r="G333" s="10">
        <v>18</v>
      </c>
      <c r="H333" s="12">
        <v>143605</v>
      </c>
      <c r="I333" s="13" t="str">
        <f t="shared" si="5"/>
        <v>30-39</v>
      </c>
    </row>
    <row r="334" spans="1:9" x14ac:dyDescent="0.35">
      <c r="A334" s="9">
        <v>332</v>
      </c>
      <c r="B334" s="10">
        <v>3905</v>
      </c>
      <c r="C334" s="10">
        <v>39</v>
      </c>
      <c r="D334" s="10" t="s">
        <v>25</v>
      </c>
      <c r="E334" s="10" t="s">
        <v>8</v>
      </c>
      <c r="F334" s="11">
        <v>35580</v>
      </c>
      <c r="G334" s="10">
        <v>15</v>
      </c>
      <c r="H334" s="12">
        <v>117870</v>
      </c>
      <c r="I334" s="13" t="str">
        <f t="shared" si="5"/>
        <v>30-39</v>
      </c>
    </row>
    <row r="335" spans="1:9" x14ac:dyDescent="0.35">
      <c r="A335" s="9">
        <v>333</v>
      </c>
      <c r="B335" s="10">
        <v>5504</v>
      </c>
      <c r="C335" s="10">
        <v>54</v>
      </c>
      <c r="D335" s="10" t="s">
        <v>26</v>
      </c>
      <c r="E335" s="10" t="s">
        <v>8</v>
      </c>
      <c r="F335" s="11">
        <v>39631</v>
      </c>
      <c r="G335" s="10">
        <v>28</v>
      </c>
      <c r="H335" s="12">
        <v>223902</v>
      </c>
      <c r="I335" s="13" t="str">
        <f t="shared" si="5"/>
        <v>50-59</v>
      </c>
    </row>
    <row r="336" spans="1:9" x14ac:dyDescent="0.35">
      <c r="A336" s="9">
        <v>334</v>
      </c>
      <c r="B336" s="10">
        <v>1819</v>
      </c>
      <c r="C336" s="10">
        <v>31</v>
      </c>
      <c r="D336" s="10" t="s">
        <v>26</v>
      </c>
      <c r="E336" s="10" t="s">
        <v>13</v>
      </c>
      <c r="F336" s="11">
        <v>39961</v>
      </c>
      <c r="G336" s="10">
        <v>14</v>
      </c>
      <c r="H336" s="12">
        <v>115875</v>
      </c>
      <c r="I336" s="13" t="str">
        <f t="shared" si="5"/>
        <v>30-39</v>
      </c>
    </row>
    <row r="337" spans="1:9" x14ac:dyDescent="0.35">
      <c r="A337" s="9">
        <v>335</v>
      </c>
      <c r="B337" s="10">
        <v>2901</v>
      </c>
      <c r="C337" s="10">
        <v>46</v>
      </c>
      <c r="D337" s="10" t="s">
        <v>25</v>
      </c>
      <c r="E337" s="10" t="s">
        <v>10</v>
      </c>
      <c r="F337" s="11">
        <v>38082</v>
      </c>
      <c r="G337" s="10">
        <v>24</v>
      </c>
      <c r="H337" s="12">
        <v>187168</v>
      </c>
      <c r="I337" s="13" t="str">
        <f t="shared" si="5"/>
        <v>40-49</v>
      </c>
    </row>
    <row r="338" spans="1:9" x14ac:dyDescent="0.35">
      <c r="A338" s="9">
        <v>336</v>
      </c>
      <c r="B338" s="10">
        <v>8229</v>
      </c>
      <c r="C338" s="10">
        <v>64</v>
      </c>
      <c r="D338" s="10" t="s">
        <v>26</v>
      </c>
      <c r="E338" s="10" t="s">
        <v>10</v>
      </c>
      <c r="F338" s="11">
        <v>35757</v>
      </c>
      <c r="G338" s="10">
        <v>33</v>
      </c>
      <c r="H338" s="12">
        <v>265624</v>
      </c>
      <c r="I338" s="13" t="str">
        <f t="shared" si="5"/>
        <v>60+</v>
      </c>
    </row>
    <row r="339" spans="1:9" x14ac:dyDescent="0.35">
      <c r="A339" s="9">
        <v>337</v>
      </c>
      <c r="B339" s="10">
        <v>9442</v>
      </c>
      <c r="C339" s="10">
        <v>62</v>
      </c>
      <c r="D339" s="10" t="s">
        <v>25</v>
      </c>
      <c r="E339" s="10" t="s">
        <v>10</v>
      </c>
      <c r="F339" s="11">
        <v>36899</v>
      </c>
      <c r="G339" s="10">
        <v>32</v>
      </c>
      <c r="H339" s="12">
        <v>259400</v>
      </c>
      <c r="I339" s="13" t="str">
        <f t="shared" si="5"/>
        <v>60+</v>
      </c>
    </row>
    <row r="340" spans="1:9" x14ac:dyDescent="0.35">
      <c r="A340" s="9">
        <v>338</v>
      </c>
      <c r="B340" s="10">
        <v>4796</v>
      </c>
      <c r="C340" s="10">
        <v>28</v>
      </c>
      <c r="D340" s="10" t="s">
        <v>26</v>
      </c>
      <c r="E340" s="10" t="s">
        <v>8</v>
      </c>
      <c r="F340" s="11">
        <v>31129</v>
      </c>
      <c r="G340" s="10">
        <v>15</v>
      </c>
      <c r="H340" s="12">
        <v>113486</v>
      </c>
      <c r="I340" s="13" t="str">
        <f t="shared" si="5"/>
        <v>20-29</v>
      </c>
    </row>
    <row r="341" spans="1:9" x14ac:dyDescent="0.35">
      <c r="A341" s="9">
        <v>339</v>
      </c>
      <c r="B341" s="10">
        <v>1890</v>
      </c>
      <c r="C341" s="10">
        <v>26</v>
      </c>
      <c r="D341" s="10" t="s">
        <v>26</v>
      </c>
      <c r="E341" s="10" t="s">
        <v>10</v>
      </c>
      <c r="F341" s="11">
        <v>32540</v>
      </c>
      <c r="G341" s="10">
        <v>13</v>
      </c>
      <c r="H341" s="12">
        <v>102162</v>
      </c>
      <c r="I341" s="13" t="str">
        <f t="shared" si="5"/>
        <v>20-29</v>
      </c>
    </row>
    <row r="342" spans="1:9" x14ac:dyDescent="0.35">
      <c r="A342" s="9">
        <v>340</v>
      </c>
      <c r="B342" s="10">
        <v>2321</v>
      </c>
      <c r="C342" s="10">
        <v>52</v>
      </c>
      <c r="D342" s="10" t="s">
        <v>26</v>
      </c>
      <c r="E342" s="10" t="s">
        <v>13</v>
      </c>
      <c r="F342" s="11">
        <v>36723</v>
      </c>
      <c r="G342" s="10">
        <v>25</v>
      </c>
      <c r="H342" s="12">
        <v>200331</v>
      </c>
      <c r="I342" s="13" t="str">
        <f t="shared" si="5"/>
        <v>50-59</v>
      </c>
    </row>
    <row r="343" spans="1:9" x14ac:dyDescent="0.35">
      <c r="A343" s="9">
        <v>341</v>
      </c>
      <c r="B343" s="10">
        <v>6947</v>
      </c>
      <c r="C343" s="10">
        <v>35</v>
      </c>
      <c r="D343" s="10" t="s">
        <v>26</v>
      </c>
      <c r="E343" s="10" t="s">
        <v>8</v>
      </c>
      <c r="F343" s="11">
        <v>33191</v>
      </c>
      <c r="G343" s="10">
        <v>18</v>
      </c>
      <c r="H343" s="12">
        <v>143134</v>
      </c>
      <c r="I343" s="13" t="str">
        <f t="shared" si="5"/>
        <v>30-39</v>
      </c>
    </row>
    <row r="344" spans="1:9" x14ac:dyDescent="0.35">
      <c r="A344" s="9">
        <v>342</v>
      </c>
      <c r="B344" s="10">
        <v>2401</v>
      </c>
      <c r="C344" s="10">
        <v>41</v>
      </c>
      <c r="D344" s="10" t="s">
        <v>26</v>
      </c>
      <c r="E344" s="10" t="s">
        <v>9</v>
      </c>
      <c r="F344" s="11">
        <v>25830</v>
      </c>
      <c r="G344" s="10">
        <v>20</v>
      </c>
      <c r="H344" s="12">
        <v>152367</v>
      </c>
      <c r="I344" s="13" t="str">
        <f t="shared" si="5"/>
        <v>40-49</v>
      </c>
    </row>
    <row r="345" spans="1:9" x14ac:dyDescent="0.35">
      <c r="A345" s="9">
        <v>343</v>
      </c>
      <c r="B345" s="10">
        <v>3015</v>
      </c>
      <c r="C345" s="10">
        <v>62</v>
      </c>
      <c r="D345" s="10" t="s">
        <v>25</v>
      </c>
      <c r="E345" s="10" t="s">
        <v>14</v>
      </c>
      <c r="F345" s="11">
        <v>43021</v>
      </c>
      <c r="G345" s="10">
        <v>31</v>
      </c>
      <c r="H345" s="12">
        <v>241831</v>
      </c>
      <c r="I345" s="13" t="str">
        <f t="shared" si="5"/>
        <v>60+</v>
      </c>
    </row>
    <row r="346" spans="1:9" x14ac:dyDescent="0.35">
      <c r="A346" s="9">
        <v>344</v>
      </c>
      <c r="B346" s="10">
        <v>6354</v>
      </c>
      <c r="C346" s="10">
        <v>46</v>
      </c>
      <c r="D346" s="10" t="s">
        <v>26</v>
      </c>
      <c r="E346" s="10" t="s">
        <v>8</v>
      </c>
      <c r="F346" s="11">
        <v>43886</v>
      </c>
      <c r="G346" s="10">
        <v>22</v>
      </c>
      <c r="H346" s="12">
        <v>174392</v>
      </c>
      <c r="I346" s="13" t="str">
        <f t="shared" si="5"/>
        <v>40-49</v>
      </c>
    </row>
    <row r="347" spans="1:9" x14ac:dyDescent="0.35">
      <c r="A347" s="9">
        <v>345</v>
      </c>
      <c r="B347" s="10">
        <v>9023</v>
      </c>
      <c r="C347" s="10">
        <v>44</v>
      </c>
      <c r="D347" s="10" t="s">
        <v>26</v>
      </c>
      <c r="E347" s="10" t="s">
        <v>9</v>
      </c>
      <c r="F347" s="11">
        <v>36328</v>
      </c>
      <c r="G347" s="10">
        <v>21</v>
      </c>
      <c r="H347" s="12">
        <v>166153</v>
      </c>
      <c r="I347" s="13" t="str">
        <f t="shared" si="5"/>
        <v>40-49</v>
      </c>
    </row>
    <row r="348" spans="1:9" x14ac:dyDescent="0.35">
      <c r="A348" s="9">
        <v>346</v>
      </c>
      <c r="B348" s="10">
        <v>9431</v>
      </c>
      <c r="C348" s="10">
        <v>22</v>
      </c>
      <c r="D348" s="10" t="s">
        <v>25</v>
      </c>
      <c r="E348" s="10" t="s">
        <v>14</v>
      </c>
      <c r="F348" s="11">
        <v>30773</v>
      </c>
      <c r="G348" s="10">
        <v>14</v>
      </c>
      <c r="H348" s="12">
        <v>116114</v>
      </c>
      <c r="I348" s="13" t="str">
        <f t="shared" si="5"/>
        <v>20-29</v>
      </c>
    </row>
    <row r="349" spans="1:9" x14ac:dyDescent="0.35">
      <c r="A349" s="9">
        <v>347</v>
      </c>
      <c r="B349" s="10">
        <v>1279</v>
      </c>
      <c r="C349" s="10">
        <v>54</v>
      </c>
      <c r="D349" s="10" t="s">
        <v>25</v>
      </c>
      <c r="E349" s="10" t="s">
        <v>9</v>
      </c>
      <c r="F349" s="11">
        <v>29702</v>
      </c>
      <c r="G349" s="10">
        <v>26</v>
      </c>
      <c r="H349" s="12">
        <v>215298</v>
      </c>
      <c r="I349" s="13" t="str">
        <f t="shared" si="5"/>
        <v>50-59</v>
      </c>
    </row>
    <row r="350" spans="1:9" x14ac:dyDescent="0.35">
      <c r="A350" s="9">
        <v>348</v>
      </c>
      <c r="B350" s="10">
        <v>5865</v>
      </c>
      <c r="C350" s="10">
        <v>44</v>
      </c>
      <c r="D350" s="10" t="s">
        <v>25</v>
      </c>
      <c r="E350" s="10" t="s">
        <v>9</v>
      </c>
      <c r="F350" s="11">
        <v>44517</v>
      </c>
      <c r="G350" s="10">
        <v>20</v>
      </c>
      <c r="H350" s="12">
        <v>161836</v>
      </c>
      <c r="I350" s="13" t="str">
        <f t="shared" si="5"/>
        <v>40-49</v>
      </c>
    </row>
    <row r="351" spans="1:9" x14ac:dyDescent="0.35">
      <c r="A351" s="9">
        <v>349</v>
      </c>
      <c r="B351" s="10">
        <v>8816</v>
      </c>
      <c r="C351" s="10">
        <v>43</v>
      </c>
      <c r="D351" s="10" t="s">
        <v>26</v>
      </c>
      <c r="E351" s="10" t="s">
        <v>14</v>
      </c>
      <c r="F351" s="11">
        <v>35134</v>
      </c>
      <c r="G351" s="10">
        <v>21</v>
      </c>
      <c r="H351" s="12">
        <v>156464</v>
      </c>
      <c r="I351" s="13" t="str">
        <f t="shared" si="5"/>
        <v>40-49</v>
      </c>
    </row>
    <row r="352" spans="1:9" x14ac:dyDescent="0.35">
      <c r="A352" s="9">
        <v>350</v>
      </c>
      <c r="B352" s="10">
        <v>7352</v>
      </c>
      <c r="C352" s="10">
        <v>51</v>
      </c>
      <c r="D352" s="10" t="s">
        <v>26</v>
      </c>
      <c r="E352" s="10" t="s">
        <v>10</v>
      </c>
      <c r="F352" s="11">
        <v>35140</v>
      </c>
      <c r="G352" s="10">
        <v>21</v>
      </c>
      <c r="H352" s="12">
        <v>161728</v>
      </c>
      <c r="I352" s="13" t="str">
        <f t="shared" si="5"/>
        <v>50-59</v>
      </c>
    </row>
    <row r="353" spans="1:9" x14ac:dyDescent="0.35">
      <c r="A353" s="9">
        <v>351</v>
      </c>
      <c r="B353" s="10">
        <v>8570</v>
      </c>
      <c r="C353" s="10">
        <v>26</v>
      </c>
      <c r="D353" s="10" t="s">
        <v>26</v>
      </c>
      <c r="E353" s="10" t="s">
        <v>10</v>
      </c>
      <c r="F353" s="11">
        <v>36214</v>
      </c>
      <c r="G353" s="10">
        <v>13</v>
      </c>
      <c r="H353" s="12">
        <v>108822</v>
      </c>
      <c r="I353" s="13" t="str">
        <f t="shared" si="5"/>
        <v>20-29</v>
      </c>
    </row>
    <row r="354" spans="1:9" x14ac:dyDescent="0.35">
      <c r="A354" s="9">
        <v>352</v>
      </c>
      <c r="B354" s="10">
        <v>7873</v>
      </c>
      <c r="C354" s="10">
        <v>62</v>
      </c>
      <c r="D354" s="10" t="s">
        <v>26</v>
      </c>
      <c r="E354" s="10" t="s">
        <v>14</v>
      </c>
      <c r="F354" s="11">
        <v>30672</v>
      </c>
      <c r="G354" s="10">
        <v>31</v>
      </c>
      <c r="H354" s="12">
        <v>242129</v>
      </c>
      <c r="I354" s="13" t="str">
        <f t="shared" si="5"/>
        <v>60+</v>
      </c>
    </row>
    <row r="355" spans="1:9" x14ac:dyDescent="0.35">
      <c r="A355" s="9">
        <v>353</v>
      </c>
      <c r="B355" s="10">
        <v>5037</v>
      </c>
      <c r="C355" s="10">
        <v>49</v>
      </c>
      <c r="D355" s="10" t="s">
        <v>26</v>
      </c>
      <c r="E355" s="10" t="s">
        <v>14</v>
      </c>
      <c r="F355" s="11">
        <v>38596</v>
      </c>
      <c r="G355" s="10">
        <v>25</v>
      </c>
      <c r="H355" s="12">
        <v>208439</v>
      </c>
      <c r="I355" s="13" t="str">
        <f t="shared" si="5"/>
        <v>40-49</v>
      </c>
    </row>
    <row r="356" spans="1:9" x14ac:dyDescent="0.35">
      <c r="A356" s="9">
        <v>354</v>
      </c>
      <c r="B356" s="10">
        <v>6812</v>
      </c>
      <c r="C356" s="10">
        <v>31</v>
      </c>
      <c r="D356" s="10" t="s">
        <v>26</v>
      </c>
      <c r="E356" s="10" t="s">
        <v>10</v>
      </c>
      <c r="F356" s="11">
        <v>26883</v>
      </c>
      <c r="G356" s="10">
        <v>16</v>
      </c>
      <c r="H356" s="12">
        <v>132859</v>
      </c>
      <c r="I356" s="13" t="str">
        <f t="shared" si="5"/>
        <v>30-39</v>
      </c>
    </row>
    <row r="357" spans="1:9" x14ac:dyDescent="0.35">
      <c r="A357" s="9">
        <v>355</v>
      </c>
      <c r="B357" s="10">
        <v>6228</v>
      </c>
      <c r="C357" s="10">
        <v>48</v>
      </c>
      <c r="D357" s="10" t="s">
        <v>25</v>
      </c>
      <c r="E357" s="10" t="s">
        <v>14</v>
      </c>
      <c r="F357" s="11">
        <v>31508</v>
      </c>
      <c r="G357" s="10">
        <v>25</v>
      </c>
      <c r="H357" s="12">
        <v>197639</v>
      </c>
      <c r="I357" s="13" t="str">
        <f t="shared" si="5"/>
        <v>40-49</v>
      </c>
    </row>
    <row r="358" spans="1:9" x14ac:dyDescent="0.35">
      <c r="A358" s="9">
        <v>356</v>
      </c>
      <c r="B358" s="10">
        <v>1541</v>
      </c>
      <c r="C358" s="10">
        <v>27</v>
      </c>
      <c r="D358" s="10" t="s">
        <v>26</v>
      </c>
      <c r="E358" s="10" t="s">
        <v>14</v>
      </c>
      <c r="F358" s="11">
        <v>31696</v>
      </c>
      <c r="G358" s="10">
        <v>11</v>
      </c>
      <c r="H358" s="12">
        <v>78632</v>
      </c>
      <c r="I358" s="13" t="str">
        <f t="shared" si="5"/>
        <v>20-29</v>
      </c>
    </row>
    <row r="359" spans="1:9" x14ac:dyDescent="0.35">
      <c r="A359" s="9">
        <v>357</v>
      </c>
      <c r="B359" s="10">
        <v>4009</v>
      </c>
      <c r="C359" s="10">
        <v>23</v>
      </c>
      <c r="D359" s="10" t="s">
        <v>26</v>
      </c>
      <c r="E359" s="10" t="s">
        <v>8</v>
      </c>
      <c r="F359" s="11">
        <v>27712</v>
      </c>
      <c r="G359" s="10">
        <v>11</v>
      </c>
      <c r="H359" s="12">
        <v>80817</v>
      </c>
      <c r="I359" s="13" t="str">
        <f t="shared" si="5"/>
        <v>20-29</v>
      </c>
    </row>
    <row r="360" spans="1:9" x14ac:dyDescent="0.35">
      <c r="A360" s="9">
        <v>358</v>
      </c>
      <c r="B360" s="10">
        <v>8185</v>
      </c>
      <c r="C360" s="10">
        <v>46</v>
      </c>
      <c r="D360" s="10" t="s">
        <v>25</v>
      </c>
      <c r="E360" s="10" t="s">
        <v>14</v>
      </c>
      <c r="F360" s="11">
        <v>35164</v>
      </c>
      <c r="G360" s="10">
        <v>20</v>
      </c>
      <c r="H360" s="12">
        <v>169224</v>
      </c>
      <c r="I360" s="13" t="str">
        <f t="shared" si="5"/>
        <v>40-49</v>
      </c>
    </row>
    <row r="361" spans="1:9" x14ac:dyDescent="0.35">
      <c r="A361" s="9">
        <v>359</v>
      </c>
      <c r="B361" s="10">
        <v>8399</v>
      </c>
      <c r="C361" s="10">
        <v>24</v>
      </c>
      <c r="D361" s="10" t="s">
        <v>26</v>
      </c>
      <c r="E361" s="10" t="s">
        <v>13</v>
      </c>
      <c r="F361" s="11">
        <v>41150</v>
      </c>
      <c r="G361" s="10">
        <v>9</v>
      </c>
      <c r="H361" s="12">
        <v>69736</v>
      </c>
      <c r="I361" s="13" t="str">
        <f t="shared" si="5"/>
        <v>20-29</v>
      </c>
    </row>
    <row r="362" spans="1:9" x14ac:dyDescent="0.35">
      <c r="A362" s="9">
        <v>360</v>
      </c>
      <c r="B362" s="10">
        <v>4196</v>
      </c>
      <c r="C362" s="10">
        <v>52</v>
      </c>
      <c r="D362" s="10" t="s">
        <v>25</v>
      </c>
      <c r="E362" s="10" t="s">
        <v>10</v>
      </c>
      <c r="F362" s="11">
        <v>41759</v>
      </c>
      <c r="G362" s="10">
        <v>22</v>
      </c>
      <c r="H362" s="12">
        <v>172041</v>
      </c>
      <c r="I362" s="13" t="str">
        <f t="shared" si="5"/>
        <v>50-59</v>
      </c>
    </row>
    <row r="363" spans="1:9" x14ac:dyDescent="0.35">
      <c r="A363" s="9">
        <v>361</v>
      </c>
      <c r="B363" s="10">
        <v>1944</v>
      </c>
      <c r="C363" s="10">
        <v>49</v>
      </c>
      <c r="D363" s="10" t="s">
        <v>25</v>
      </c>
      <c r="E363" s="10" t="s">
        <v>9</v>
      </c>
      <c r="F363" s="11">
        <v>40910</v>
      </c>
      <c r="G363" s="10">
        <v>22</v>
      </c>
      <c r="H363" s="12">
        <v>175269</v>
      </c>
      <c r="I363" s="13" t="str">
        <f t="shared" si="5"/>
        <v>40-49</v>
      </c>
    </row>
    <row r="364" spans="1:9" x14ac:dyDescent="0.35">
      <c r="A364" s="9">
        <v>362</v>
      </c>
      <c r="B364" s="10">
        <v>4672</v>
      </c>
      <c r="C364" s="10">
        <v>27</v>
      </c>
      <c r="D364" s="10" t="s">
        <v>25</v>
      </c>
      <c r="E364" s="10" t="s">
        <v>9</v>
      </c>
      <c r="F364" s="11">
        <v>35247</v>
      </c>
      <c r="G364" s="10">
        <v>12</v>
      </c>
      <c r="H364" s="12">
        <v>96587</v>
      </c>
      <c r="I364" s="13" t="str">
        <f t="shared" si="5"/>
        <v>20-29</v>
      </c>
    </row>
    <row r="365" spans="1:9" x14ac:dyDescent="0.35">
      <c r="A365" s="9">
        <v>363</v>
      </c>
      <c r="B365" s="10">
        <v>2424</v>
      </c>
      <c r="C365" s="10">
        <v>61</v>
      </c>
      <c r="D365" s="10" t="s">
        <v>26</v>
      </c>
      <c r="E365" s="10" t="s">
        <v>8</v>
      </c>
      <c r="F365" s="11">
        <v>42772</v>
      </c>
      <c r="G365" s="10">
        <v>28</v>
      </c>
      <c r="H365" s="12">
        <v>228121</v>
      </c>
      <c r="I365" s="13" t="str">
        <f t="shared" si="5"/>
        <v>60+</v>
      </c>
    </row>
    <row r="366" spans="1:9" x14ac:dyDescent="0.35">
      <c r="A366" s="9">
        <v>364</v>
      </c>
      <c r="B366" s="10">
        <v>3389</v>
      </c>
      <c r="C366" s="10">
        <v>57</v>
      </c>
      <c r="D366" s="10" t="s">
        <v>25</v>
      </c>
      <c r="E366" s="10" t="s">
        <v>10</v>
      </c>
      <c r="F366" s="11">
        <v>36031</v>
      </c>
      <c r="G366" s="10">
        <v>28</v>
      </c>
      <c r="H366" s="12">
        <v>219082</v>
      </c>
      <c r="I366" s="13" t="str">
        <f t="shared" si="5"/>
        <v>50-59</v>
      </c>
    </row>
    <row r="367" spans="1:9" x14ac:dyDescent="0.35">
      <c r="A367" s="9">
        <v>365</v>
      </c>
      <c r="B367" s="10">
        <v>9010</v>
      </c>
      <c r="C367" s="10">
        <v>30</v>
      </c>
      <c r="D367" s="10" t="s">
        <v>26</v>
      </c>
      <c r="E367" s="10" t="s">
        <v>9</v>
      </c>
      <c r="F367" s="11">
        <v>26389</v>
      </c>
      <c r="G367" s="10">
        <v>14</v>
      </c>
      <c r="H367" s="12">
        <v>112660</v>
      </c>
      <c r="I367" s="13" t="str">
        <f t="shared" si="5"/>
        <v>30-39</v>
      </c>
    </row>
    <row r="368" spans="1:9" x14ac:dyDescent="0.35">
      <c r="A368" s="9">
        <v>366</v>
      </c>
      <c r="B368" s="10">
        <v>7713</v>
      </c>
      <c r="C368" s="10">
        <v>50</v>
      </c>
      <c r="D368" s="10" t="s">
        <v>26</v>
      </c>
      <c r="E368" s="10" t="s">
        <v>9</v>
      </c>
      <c r="F368" s="11">
        <v>33906</v>
      </c>
      <c r="G368" s="10">
        <v>24</v>
      </c>
      <c r="H368" s="12">
        <v>192120</v>
      </c>
      <c r="I368" s="13" t="str">
        <f t="shared" si="5"/>
        <v>50-59</v>
      </c>
    </row>
    <row r="369" spans="1:9" x14ac:dyDescent="0.35">
      <c r="A369" s="9">
        <v>367</v>
      </c>
      <c r="B369" s="10">
        <v>4303</v>
      </c>
      <c r="C369" s="10">
        <v>35</v>
      </c>
      <c r="D369" s="10" t="s">
        <v>25</v>
      </c>
      <c r="E369" s="10" t="s">
        <v>8</v>
      </c>
      <c r="F369" s="11">
        <v>43071</v>
      </c>
      <c r="G369" s="10">
        <v>17</v>
      </c>
      <c r="H369" s="12">
        <v>138446</v>
      </c>
      <c r="I369" s="13" t="str">
        <f t="shared" si="5"/>
        <v>30-39</v>
      </c>
    </row>
    <row r="370" spans="1:9" x14ac:dyDescent="0.35">
      <c r="A370" s="9">
        <v>368</v>
      </c>
      <c r="B370" s="10">
        <v>7683</v>
      </c>
      <c r="C370" s="10">
        <v>62</v>
      </c>
      <c r="D370" s="10" t="s">
        <v>26</v>
      </c>
      <c r="E370" s="10" t="s">
        <v>10</v>
      </c>
      <c r="F370" s="11">
        <v>42932</v>
      </c>
      <c r="G370" s="10">
        <v>31</v>
      </c>
      <c r="H370" s="12">
        <v>248320</v>
      </c>
      <c r="I370" s="13" t="str">
        <f t="shared" si="5"/>
        <v>60+</v>
      </c>
    </row>
    <row r="371" spans="1:9" x14ac:dyDescent="0.35">
      <c r="A371" s="9">
        <v>369</v>
      </c>
      <c r="B371" s="10">
        <v>7362</v>
      </c>
      <c r="C371" s="10">
        <v>49</v>
      </c>
      <c r="D371" s="10" t="s">
        <v>25</v>
      </c>
      <c r="E371" s="10" t="s">
        <v>10</v>
      </c>
      <c r="F371" s="11">
        <v>40421</v>
      </c>
      <c r="G371" s="10">
        <v>20</v>
      </c>
      <c r="H371" s="12">
        <v>156711</v>
      </c>
      <c r="I371" s="13" t="str">
        <f t="shared" si="5"/>
        <v>40-49</v>
      </c>
    </row>
    <row r="372" spans="1:9" x14ac:dyDescent="0.35">
      <c r="A372" s="9">
        <v>370</v>
      </c>
      <c r="B372" s="10">
        <v>1718</v>
      </c>
      <c r="C372" s="10">
        <v>49</v>
      </c>
      <c r="D372" s="10" t="s">
        <v>26</v>
      </c>
      <c r="E372" s="10" t="s">
        <v>14</v>
      </c>
      <c r="F372" s="11">
        <v>43379</v>
      </c>
      <c r="G372" s="10">
        <v>28</v>
      </c>
      <c r="H372" s="12">
        <v>226499</v>
      </c>
      <c r="I372" s="13" t="str">
        <f t="shared" si="5"/>
        <v>40-49</v>
      </c>
    </row>
    <row r="373" spans="1:9" x14ac:dyDescent="0.35">
      <c r="A373" s="9">
        <v>371</v>
      </c>
      <c r="B373" s="10">
        <v>6548</v>
      </c>
      <c r="C373" s="10">
        <v>57</v>
      </c>
      <c r="D373" s="10" t="s">
        <v>25</v>
      </c>
      <c r="E373" s="10" t="s">
        <v>14</v>
      </c>
      <c r="F373" s="11">
        <v>38718</v>
      </c>
      <c r="G373" s="10">
        <v>27</v>
      </c>
      <c r="H373" s="12">
        <v>207647</v>
      </c>
      <c r="I373" s="13" t="str">
        <f t="shared" si="5"/>
        <v>50-59</v>
      </c>
    </row>
    <row r="374" spans="1:9" x14ac:dyDescent="0.35">
      <c r="A374" s="9">
        <v>372</v>
      </c>
      <c r="B374" s="10">
        <v>6273</v>
      </c>
      <c r="C374" s="10">
        <v>37</v>
      </c>
      <c r="D374" s="10" t="s">
        <v>25</v>
      </c>
      <c r="E374" s="10" t="s">
        <v>13</v>
      </c>
      <c r="F374" s="11">
        <v>34394</v>
      </c>
      <c r="G374" s="10">
        <v>19</v>
      </c>
      <c r="H374" s="12">
        <v>150282</v>
      </c>
      <c r="I374" s="13" t="str">
        <f t="shared" si="5"/>
        <v>30-39</v>
      </c>
    </row>
    <row r="375" spans="1:9" x14ac:dyDescent="0.35">
      <c r="A375" s="9">
        <v>373</v>
      </c>
      <c r="B375" s="10">
        <v>5076</v>
      </c>
      <c r="C375" s="10">
        <v>63</v>
      </c>
      <c r="D375" s="10" t="s">
        <v>26</v>
      </c>
      <c r="E375" s="10" t="s">
        <v>10</v>
      </c>
      <c r="F375" s="11">
        <v>32411</v>
      </c>
      <c r="G375" s="10">
        <v>36</v>
      </c>
      <c r="H375" s="12">
        <v>293410</v>
      </c>
      <c r="I375" s="13" t="str">
        <f t="shared" si="5"/>
        <v>60+</v>
      </c>
    </row>
    <row r="376" spans="1:9" x14ac:dyDescent="0.35">
      <c r="A376" s="9">
        <v>374</v>
      </c>
      <c r="B376" s="10">
        <v>6914</v>
      </c>
      <c r="C376" s="10">
        <v>23</v>
      </c>
      <c r="D376" s="10" t="s">
        <v>25</v>
      </c>
      <c r="E376" s="10" t="s">
        <v>9</v>
      </c>
      <c r="F376" s="11">
        <v>40244</v>
      </c>
      <c r="G376" s="10">
        <v>9</v>
      </c>
      <c r="H376" s="12">
        <v>66124</v>
      </c>
      <c r="I376" s="13" t="str">
        <f t="shared" si="5"/>
        <v>20-29</v>
      </c>
    </row>
    <row r="377" spans="1:9" x14ac:dyDescent="0.35">
      <c r="A377" s="9">
        <v>375</v>
      </c>
      <c r="B377" s="10">
        <v>1068</v>
      </c>
      <c r="C377" s="10">
        <v>47</v>
      </c>
      <c r="D377" s="10" t="s">
        <v>25</v>
      </c>
      <c r="E377" s="10" t="s">
        <v>14</v>
      </c>
      <c r="F377" s="11">
        <v>32780</v>
      </c>
      <c r="G377" s="10">
        <v>20</v>
      </c>
      <c r="H377" s="12">
        <v>162792</v>
      </c>
      <c r="I377" s="13" t="str">
        <f t="shared" si="5"/>
        <v>40-49</v>
      </c>
    </row>
    <row r="378" spans="1:9" x14ac:dyDescent="0.35">
      <c r="A378" s="9">
        <v>376</v>
      </c>
      <c r="B378" s="10">
        <v>1539</v>
      </c>
      <c r="C378" s="10">
        <v>42</v>
      </c>
      <c r="D378" s="10" t="s">
        <v>26</v>
      </c>
      <c r="E378" s="10" t="s">
        <v>8</v>
      </c>
      <c r="F378" s="11">
        <v>35990</v>
      </c>
      <c r="G378" s="10">
        <v>22</v>
      </c>
      <c r="H378" s="12">
        <v>169701</v>
      </c>
      <c r="I378" s="13" t="str">
        <f t="shared" si="5"/>
        <v>40-49</v>
      </c>
    </row>
    <row r="379" spans="1:9" x14ac:dyDescent="0.35">
      <c r="A379" s="9">
        <v>377</v>
      </c>
      <c r="B379" s="10">
        <v>2565</v>
      </c>
      <c r="C379" s="10">
        <v>26</v>
      </c>
      <c r="D379" s="10" t="s">
        <v>25</v>
      </c>
      <c r="E379" s="10" t="s">
        <v>8</v>
      </c>
      <c r="F379" s="11">
        <v>34864</v>
      </c>
      <c r="G379" s="10">
        <v>12</v>
      </c>
      <c r="H379" s="12">
        <v>89021</v>
      </c>
      <c r="I379" s="13" t="str">
        <f t="shared" si="5"/>
        <v>20-29</v>
      </c>
    </row>
    <row r="380" spans="1:9" x14ac:dyDescent="0.35">
      <c r="A380" s="9">
        <v>378</v>
      </c>
      <c r="B380" s="10">
        <v>7334</v>
      </c>
      <c r="C380" s="10">
        <v>63</v>
      </c>
      <c r="D380" s="10" t="s">
        <v>26</v>
      </c>
      <c r="E380" s="10" t="s">
        <v>14</v>
      </c>
      <c r="F380" s="11">
        <v>27914</v>
      </c>
      <c r="G380" s="10">
        <v>31</v>
      </c>
      <c r="H380" s="12">
        <v>253048</v>
      </c>
      <c r="I380" s="13" t="str">
        <f t="shared" si="5"/>
        <v>60+</v>
      </c>
    </row>
    <row r="381" spans="1:9" x14ac:dyDescent="0.35">
      <c r="A381" s="9">
        <v>379</v>
      </c>
      <c r="B381" s="10">
        <v>2974</v>
      </c>
      <c r="C381" s="10">
        <v>22</v>
      </c>
      <c r="D381" s="10" t="s">
        <v>25</v>
      </c>
      <c r="E381" s="10" t="s">
        <v>9</v>
      </c>
      <c r="F381" s="11">
        <v>44011</v>
      </c>
      <c r="G381" s="10">
        <v>7</v>
      </c>
      <c r="H381" s="12">
        <v>43177</v>
      </c>
      <c r="I381" s="13" t="str">
        <f t="shared" si="5"/>
        <v>20-29</v>
      </c>
    </row>
    <row r="382" spans="1:9" x14ac:dyDescent="0.35">
      <c r="A382" s="9">
        <v>380</v>
      </c>
      <c r="B382" s="10">
        <v>2346</v>
      </c>
      <c r="C382" s="10">
        <v>36</v>
      </c>
      <c r="D382" s="10" t="s">
        <v>25</v>
      </c>
      <c r="E382" s="10" t="s">
        <v>14</v>
      </c>
      <c r="F382" s="11">
        <v>45666</v>
      </c>
      <c r="G382" s="10">
        <v>13</v>
      </c>
      <c r="H382" s="12">
        <v>103682</v>
      </c>
      <c r="I382" s="13" t="str">
        <f t="shared" si="5"/>
        <v>30-39</v>
      </c>
    </row>
    <row r="383" spans="1:9" x14ac:dyDescent="0.35">
      <c r="A383" s="9">
        <v>381</v>
      </c>
      <c r="B383" s="10">
        <v>2800</v>
      </c>
      <c r="C383" s="10">
        <v>30</v>
      </c>
      <c r="D383" s="10" t="s">
        <v>25</v>
      </c>
      <c r="E383" s="10" t="s">
        <v>14</v>
      </c>
      <c r="F383" s="11">
        <v>37749</v>
      </c>
      <c r="G383" s="10">
        <v>16</v>
      </c>
      <c r="H383" s="12">
        <v>129947</v>
      </c>
      <c r="I383" s="13" t="str">
        <f t="shared" si="5"/>
        <v>30-39</v>
      </c>
    </row>
    <row r="384" spans="1:9" x14ac:dyDescent="0.35">
      <c r="A384" s="9">
        <v>382</v>
      </c>
      <c r="B384" s="10">
        <v>4437</v>
      </c>
      <c r="C384" s="10">
        <v>62</v>
      </c>
      <c r="D384" s="10" t="s">
        <v>26</v>
      </c>
      <c r="E384" s="10" t="s">
        <v>8</v>
      </c>
      <c r="F384" s="11">
        <v>36931</v>
      </c>
      <c r="G384" s="10">
        <v>29</v>
      </c>
      <c r="H384" s="12">
        <v>227252</v>
      </c>
      <c r="I384" s="13" t="str">
        <f t="shared" si="5"/>
        <v>60+</v>
      </c>
    </row>
    <row r="385" spans="1:9" x14ac:dyDescent="0.35">
      <c r="A385" s="9">
        <v>383</v>
      </c>
      <c r="B385" s="10">
        <v>6007</v>
      </c>
      <c r="C385" s="10">
        <v>32</v>
      </c>
      <c r="D385" s="10" t="s">
        <v>25</v>
      </c>
      <c r="E385" s="10" t="s">
        <v>9</v>
      </c>
      <c r="F385" s="11">
        <v>33037</v>
      </c>
      <c r="G385" s="10">
        <v>15</v>
      </c>
      <c r="H385" s="12">
        <v>127305</v>
      </c>
      <c r="I385" s="13" t="str">
        <f t="shared" si="5"/>
        <v>30-39</v>
      </c>
    </row>
    <row r="386" spans="1:9" x14ac:dyDescent="0.35">
      <c r="A386" s="9">
        <v>384</v>
      </c>
      <c r="B386" s="10">
        <v>2510</v>
      </c>
      <c r="C386" s="10">
        <v>51</v>
      </c>
      <c r="D386" s="10" t="s">
        <v>26</v>
      </c>
      <c r="E386" s="10" t="s">
        <v>13</v>
      </c>
      <c r="F386" s="11">
        <v>41261</v>
      </c>
      <c r="G386" s="10">
        <v>24</v>
      </c>
      <c r="H386" s="12">
        <v>184578</v>
      </c>
      <c r="I386" s="13" t="str">
        <f t="shared" si="5"/>
        <v>50-59</v>
      </c>
    </row>
    <row r="387" spans="1:9" x14ac:dyDescent="0.35">
      <c r="A387" s="9">
        <v>385</v>
      </c>
      <c r="B387" s="10">
        <v>7197</v>
      </c>
      <c r="C387" s="10">
        <v>45</v>
      </c>
      <c r="D387" s="10" t="s">
        <v>25</v>
      </c>
      <c r="E387" s="10" t="s">
        <v>14</v>
      </c>
      <c r="F387" s="11">
        <v>28672</v>
      </c>
      <c r="G387" s="10">
        <v>23</v>
      </c>
      <c r="H387" s="12">
        <v>189031</v>
      </c>
      <c r="I387" s="13" t="str">
        <f t="shared" ref="I387:I450" si="6">IF(C387&lt;30,"20-29",IF(C387&lt;40,"30-39",IF(C387&lt;50,"40-49",IF(C387&lt;60,"50-59","60+"))))</f>
        <v>40-49</v>
      </c>
    </row>
    <row r="388" spans="1:9" x14ac:dyDescent="0.35">
      <c r="A388" s="9">
        <v>386</v>
      </c>
      <c r="B388" s="10">
        <v>5262</v>
      </c>
      <c r="C388" s="10">
        <v>61</v>
      </c>
      <c r="D388" s="10" t="s">
        <v>25</v>
      </c>
      <c r="E388" s="10" t="s">
        <v>10</v>
      </c>
      <c r="F388" s="11">
        <v>43973</v>
      </c>
      <c r="G388" s="10">
        <v>30</v>
      </c>
      <c r="H388" s="12">
        <v>242312</v>
      </c>
      <c r="I388" s="13" t="str">
        <f t="shared" si="6"/>
        <v>60+</v>
      </c>
    </row>
    <row r="389" spans="1:9" x14ac:dyDescent="0.35">
      <c r="A389" s="9">
        <v>387</v>
      </c>
      <c r="B389" s="10">
        <v>4315</v>
      </c>
      <c r="C389" s="10">
        <v>47</v>
      </c>
      <c r="D389" s="10" t="s">
        <v>25</v>
      </c>
      <c r="E389" s="10" t="s">
        <v>9</v>
      </c>
      <c r="F389" s="11">
        <v>36673</v>
      </c>
      <c r="G389" s="10">
        <v>24</v>
      </c>
      <c r="H389" s="12">
        <v>199412</v>
      </c>
      <c r="I389" s="13" t="str">
        <f t="shared" si="6"/>
        <v>40-49</v>
      </c>
    </row>
    <row r="390" spans="1:9" x14ac:dyDescent="0.35">
      <c r="A390" s="9">
        <v>388</v>
      </c>
      <c r="B390" s="10">
        <v>8268</v>
      </c>
      <c r="C390" s="10">
        <v>42</v>
      </c>
      <c r="D390" s="10" t="s">
        <v>25</v>
      </c>
      <c r="E390" s="10" t="s">
        <v>10</v>
      </c>
      <c r="F390" s="11">
        <v>33564</v>
      </c>
      <c r="G390" s="10">
        <v>22</v>
      </c>
      <c r="H390" s="12">
        <v>181466</v>
      </c>
      <c r="I390" s="13" t="str">
        <f t="shared" si="6"/>
        <v>40-49</v>
      </c>
    </row>
    <row r="391" spans="1:9" x14ac:dyDescent="0.35">
      <c r="A391" s="9">
        <v>389</v>
      </c>
      <c r="B391" s="10">
        <v>6197</v>
      </c>
      <c r="C391" s="10">
        <v>61</v>
      </c>
      <c r="D391" s="10" t="s">
        <v>25</v>
      </c>
      <c r="E391" s="10" t="s">
        <v>13</v>
      </c>
      <c r="F391" s="11">
        <v>29301</v>
      </c>
      <c r="G391" s="10">
        <v>32</v>
      </c>
      <c r="H391" s="12">
        <v>249787</v>
      </c>
      <c r="I391" s="13" t="str">
        <f t="shared" si="6"/>
        <v>60+</v>
      </c>
    </row>
    <row r="392" spans="1:9" x14ac:dyDescent="0.35">
      <c r="A392" s="9">
        <v>390</v>
      </c>
      <c r="B392" s="10">
        <v>6190</v>
      </c>
      <c r="C392" s="10">
        <v>23</v>
      </c>
      <c r="D392" s="10" t="s">
        <v>26</v>
      </c>
      <c r="E392" s="10" t="s">
        <v>14</v>
      </c>
      <c r="F392" s="11">
        <v>42506</v>
      </c>
      <c r="G392" s="10">
        <v>10</v>
      </c>
      <c r="H392" s="12">
        <v>75579</v>
      </c>
      <c r="I392" s="13" t="str">
        <f t="shared" si="6"/>
        <v>20-29</v>
      </c>
    </row>
    <row r="393" spans="1:9" x14ac:dyDescent="0.35">
      <c r="A393" s="9">
        <v>391</v>
      </c>
      <c r="B393" s="10">
        <v>8585</v>
      </c>
      <c r="C393" s="10">
        <v>33</v>
      </c>
      <c r="D393" s="10" t="s">
        <v>25</v>
      </c>
      <c r="E393" s="10" t="s">
        <v>9</v>
      </c>
      <c r="F393" s="11">
        <v>42298</v>
      </c>
      <c r="G393" s="10">
        <v>14</v>
      </c>
      <c r="H393" s="12">
        <v>110956</v>
      </c>
      <c r="I393" s="13" t="str">
        <f t="shared" si="6"/>
        <v>30-39</v>
      </c>
    </row>
    <row r="394" spans="1:9" x14ac:dyDescent="0.35">
      <c r="A394" s="9">
        <v>392</v>
      </c>
      <c r="B394" s="10">
        <v>4689</v>
      </c>
      <c r="C394" s="10">
        <v>52</v>
      </c>
      <c r="D394" s="10" t="s">
        <v>25</v>
      </c>
      <c r="E394" s="10" t="s">
        <v>10</v>
      </c>
      <c r="F394" s="11">
        <v>41755</v>
      </c>
      <c r="G394" s="10">
        <v>25</v>
      </c>
      <c r="H394" s="12">
        <v>205417</v>
      </c>
      <c r="I394" s="13" t="str">
        <f t="shared" si="6"/>
        <v>50-59</v>
      </c>
    </row>
    <row r="395" spans="1:9" x14ac:dyDescent="0.35">
      <c r="A395" s="9">
        <v>393</v>
      </c>
      <c r="B395" s="10">
        <v>9048</v>
      </c>
      <c r="C395" s="10">
        <v>44</v>
      </c>
      <c r="D395" s="10" t="s">
        <v>25</v>
      </c>
      <c r="E395" s="10" t="s">
        <v>8</v>
      </c>
      <c r="F395" s="11">
        <v>28352</v>
      </c>
      <c r="G395" s="10">
        <v>25</v>
      </c>
      <c r="H395" s="12">
        <v>196804</v>
      </c>
      <c r="I395" s="13" t="str">
        <f t="shared" si="6"/>
        <v>40-49</v>
      </c>
    </row>
    <row r="396" spans="1:9" x14ac:dyDescent="0.35">
      <c r="A396" s="9">
        <v>394</v>
      </c>
      <c r="B396" s="10">
        <v>7445</v>
      </c>
      <c r="C396" s="10">
        <v>46</v>
      </c>
      <c r="D396" s="10" t="s">
        <v>25</v>
      </c>
      <c r="E396" s="10" t="s">
        <v>14</v>
      </c>
      <c r="F396" s="11">
        <v>30445</v>
      </c>
      <c r="G396" s="10">
        <v>21</v>
      </c>
      <c r="H396" s="12">
        <v>171101</v>
      </c>
      <c r="I396" s="13" t="str">
        <f t="shared" si="6"/>
        <v>40-49</v>
      </c>
    </row>
    <row r="397" spans="1:9" x14ac:dyDescent="0.35">
      <c r="A397" s="9">
        <v>395</v>
      </c>
      <c r="B397" s="10">
        <v>2129</v>
      </c>
      <c r="C397" s="10">
        <v>27</v>
      </c>
      <c r="D397" s="10" t="s">
        <v>25</v>
      </c>
      <c r="E397" s="10" t="s">
        <v>14</v>
      </c>
      <c r="F397" s="11">
        <v>32230</v>
      </c>
      <c r="G397" s="10">
        <v>12</v>
      </c>
      <c r="H397" s="12">
        <v>103203</v>
      </c>
      <c r="I397" s="13" t="str">
        <f t="shared" si="6"/>
        <v>20-29</v>
      </c>
    </row>
    <row r="398" spans="1:9" x14ac:dyDescent="0.35">
      <c r="A398" s="9">
        <v>396</v>
      </c>
      <c r="B398" s="10">
        <v>2973</v>
      </c>
      <c r="C398" s="10">
        <v>26</v>
      </c>
      <c r="D398" s="10" t="s">
        <v>26</v>
      </c>
      <c r="E398" s="10" t="s">
        <v>8</v>
      </c>
      <c r="F398" s="11">
        <v>26992</v>
      </c>
      <c r="G398" s="10">
        <v>15</v>
      </c>
      <c r="H398" s="12">
        <v>120056</v>
      </c>
      <c r="I398" s="13" t="str">
        <f t="shared" si="6"/>
        <v>20-29</v>
      </c>
    </row>
    <row r="399" spans="1:9" x14ac:dyDescent="0.35">
      <c r="A399" s="9">
        <v>397</v>
      </c>
      <c r="B399" s="10">
        <v>5722</v>
      </c>
      <c r="C399" s="10">
        <v>30</v>
      </c>
      <c r="D399" s="10" t="s">
        <v>26</v>
      </c>
      <c r="E399" s="10" t="s">
        <v>9</v>
      </c>
      <c r="F399" s="11">
        <v>43206</v>
      </c>
      <c r="G399" s="10">
        <v>16</v>
      </c>
      <c r="H399" s="12">
        <v>136030</v>
      </c>
      <c r="I399" s="13" t="str">
        <f t="shared" si="6"/>
        <v>30-39</v>
      </c>
    </row>
    <row r="400" spans="1:9" x14ac:dyDescent="0.35">
      <c r="A400" s="9">
        <v>398</v>
      </c>
      <c r="B400" s="10">
        <v>4334</v>
      </c>
      <c r="C400" s="10">
        <v>58</v>
      </c>
      <c r="D400" s="10" t="s">
        <v>25</v>
      </c>
      <c r="E400" s="10" t="s">
        <v>14</v>
      </c>
      <c r="F400" s="11">
        <v>42970</v>
      </c>
      <c r="G400" s="10">
        <v>28</v>
      </c>
      <c r="H400" s="12">
        <v>225695</v>
      </c>
      <c r="I400" s="13" t="str">
        <f t="shared" si="6"/>
        <v>50-59</v>
      </c>
    </row>
    <row r="401" spans="1:9" x14ac:dyDescent="0.35">
      <c r="A401" s="9">
        <v>399</v>
      </c>
      <c r="B401" s="10">
        <v>3900</v>
      </c>
      <c r="C401" s="10">
        <v>44</v>
      </c>
      <c r="D401" s="10" t="s">
        <v>26</v>
      </c>
      <c r="E401" s="10" t="s">
        <v>14</v>
      </c>
      <c r="F401" s="11">
        <v>31801</v>
      </c>
      <c r="G401" s="10">
        <v>18</v>
      </c>
      <c r="H401" s="12">
        <v>140411</v>
      </c>
      <c r="I401" s="13" t="str">
        <f t="shared" si="6"/>
        <v>40-49</v>
      </c>
    </row>
    <row r="402" spans="1:9" x14ac:dyDescent="0.35">
      <c r="A402" s="9">
        <v>400</v>
      </c>
      <c r="B402" s="10">
        <v>9317</v>
      </c>
      <c r="C402" s="10">
        <v>45</v>
      </c>
      <c r="D402" s="10" t="s">
        <v>26</v>
      </c>
      <c r="E402" s="10" t="s">
        <v>8</v>
      </c>
      <c r="F402" s="11">
        <v>43081</v>
      </c>
      <c r="G402" s="10">
        <v>21</v>
      </c>
      <c r="H402" s="12">
        <v>169472</v>
      </c>
      <c r="I402" s="13" t="str">
        <f t="shared" si="6"/>
        <v>40-49</v>
      </c>
    </row>
    <row r="403" spans="1:9" x14ac:dyDescent="0.35">
      <c r="A403" s="9">
        <v>401</v>
      </c>
      <c r="B403" s="10">
        <v>7802</v>
      </c>
      <c r="C403" s="10">
        <v>23</v>
      </c>
      <c r="D403" s="10" t="s">
        <v>25</v>
      </c>
      <c r="E403" s="10" t="s">
        <v>8</v>
      </c>
      <c r="F403" s="11">
        <v>37831</v>
      </c>
      <c r="G403" s="10">
        <v>12</v>
      </c>
      <c r="H403" s="12">
        <v>94602</v>
      </c>
      <c r="I403" s="13" t="str">
        <f t="shared" si="6"/>
        <v>20-29</v>
      </c>
    </row>
    <row r="404" spans="1:9" x14ac:dyDescent="0.35">
      <c r="A404" s="9">
        <v>402</v>
      </c>
      <c r="B404" s="10">
        <v>3189</v>
      </c>
      <c r="C404" s="10">
        <v>43</v>
      </c>
      <c r="D404" s="10" t="s">
        <v>26</v>
      </c>
      <c r="E404" s="10" t="s">
        <v>8</v>
      </c>
      <c r="F404" s="11">
        <v>31012</v>
      </c>
      <c r="G404" s="10">
        <v>22</v>
      </c>
      <c r="H404" s="12">
        <v>176423</v>
      </c>
      <c r="I404" s="13" t="str">
        <f t="shared" si="6"/>
        <v>40-49</v>
      </c>
    </row>
    <row r="405" spans="1:9" x14ac:dyDescent="0.35">
      <c r="A405" s="9">
        <v>403</v>
      </c>
      <c r="B405" s="10">
        <v>2803</v>
      </c>
      <c r="C405" s="10">
        <v>41</v>
      </c>
      <c r="D405" s="10" t="s">
        <v>26</v>
      </c>
      <c r="E405" s="10" t="s">
        <v>8</v>
      </c>
      <c r="F405" s="11">
        <v>28112</v>
      </c>
      <c r="G405" s="10">
        <v>20</v>
      </c>
      <c r="H405" s="12">
        <v>173046</v>
      </c>
      <c r="I405" s="13" t="str">
        <f t="shared" si="6"/>
        <v>40-49</v>
      </c>
    </row>
    <row r="406" spans="1:9" x14ac:dyDescent="0.35">
      <c r="A406" s="9">
        <v>404</v>
      </c>
      <c r="B406" s="10">
        <v>9086</v>
      </c>
      <c r="C406" s="10">
        <v>26</v>
      </c>
      <c r="D406" s="10" t="s">
        <v>25</v>
      </c>
      <c r="E406" s="10" t="s">
        <v>10</v>
      </c>
      <c r="F406" s="11">
        <v>27954</v>
      </c>
      <c r="G406" s="10">
        <v>12</v>
      </c>
      <c r="H406" s="12">
        <v>82230</v>
      </c>
      <c r="I406" s="13" t="str">
        <f t="shared" si="6"/>
        <v>20-29</v>
      </c>
    </row>
    <row r="407" spans="1:9" x14ac:dyDescent="0.35">
      <c r="A407" s="9">
        <v>405</v>
      </c>
      <c r="B407" s="10">
        <v>9975</v>
      </c>
      <c r="C407" s="10">
        <v>22</v>
      </c>
      <c r="D407" s="10" t="s">
        <v>26</v>
      </c>
      <c r="E407" s="10" t="s">
        <v>14</v>
      </c>
      <c r="F407" s="11">
        <v>38123</v>
      </c>
      <c r="G407" s="10">
        <v>9</v>
      </c>
      <c r="H407" s="12">
        <v>65079</v>
      </c>
      <c r="I407" s="13" t="str">
        <f t="shared" si="6"/>
        <v>20-29</v>
      </c>
    </row>
    <row r="408" spans="1:9" x14ac:dyDescent="0.35">
      <c r="A408" s="9">
        <v>406</v>
      </c>
      <c r="B408" s="10">
        <v>8328</v>
      </c>
      <c r="C408" s="10">
        <v>51</v>
      </c>
      <c r="D408" s="10" t="s">
        <v>26</v>
      </c>
      <c r="E408" s="10" t="s">
        <v>9</v>
      </c>
      <c r="F408" s="11">
        <v>31712</v>
      </c>
      <c r="G408" s="10">
        <v>24</v>
      </c>
      <c r="H408" s="12">
        <v>194961</v>
      </c>
      <c r="I408" s="13" t="str">
        <f t="shared" si="6"/>
        <v>50-59</v>
      </c>
    </row>
    <row r="409" spans="1:9" x14ac:dyDescent="0.35">
      <c r="A409" s="9">
        <v>407</v>
      </c>
      <c r="B409" s="10">
        <v>1695</v>
      </c>
      <c r="C409" s="10">
        <v>55</v>
      </c>
      <c r="D409" s="10" t="s">
        <v>25</v>
      </c>
      <c r="E409" s="10" t="s">
        <v>14</v>
      </c>
      <c r="F409" s="11">
        <v>37630</v>
      </c>
      <c r="G409" s="10">
        <v>24</v>
      </c>
      <c r="H409" s="12">
        <v>192619</v>
      </c>
      <c r="I409" s="13" t="str">
        <f t="shared" si="6"/>
        <v>50-59</v>
      </c>
    </row>
    <row r="410" spans="1:9" x14ac:dyDescent="0.35">
      <c r="A410" s="9">
        <v>408</v>
      </c>
      <c r="B410" s="10">
        <v>6633</v>
      </c>
      <c r="C410" s="10">
        <v>27</v>
      </c>
      <c r="D410" s="10" t="s">
        <v>25</v>
      </c>
      <c r="E410" s="10" t="s">
        <v>13</v>
      </c>
      <c r="F410" s="11">
        <v>37342</v>
      </c>
      <c r="G410" s="10">
        <v>16</v>
      </c>
      <c r="H410" s="12">
        <v>123888</v>
      </c>
      <c r="I410" s="13" t="str">
        <f t="shared" si="6"/>
        <v>20-29</v>
      </c>
    </row>
    <row r="411" spans="1:9" x14ac:dyDescent="0.35">
      <c r="A411" s="9">
        <v>409</v>
      </c>
      <c r="B411" s="10">
        <v>5922</v>
      </c>
      <c r="C411" s="10">
        <v>57</v>
      </c>
      <c r="D411" s="10" t="s">
        <v>26</v>
      </c>
      <c r="E411" s="10" t="s">
        <v>9</v>
      </c>
      <c r="F411" s="11">
        <v>43953</v>
      </c>
      <c r="G411" s="10">
        <v>29</v>
      </c>
      <c r="H411" s="12">
        <v>225741</v>
      </c>
      <c r="I411" s="13" t="str">
        <f t="shared" si="6"/>
        <v>50-59</v>
      </c>
    </row>
    <row r="412" spans="1:9" x14ac:dyDescent="0.35">
      <c r="A412" s="9">
        <v>410</v>
      </c>
      <c r="B412" s="10">
        <v>4364</v>
      </c>
      <c r="C412" s="10">
        <v>54</v>
      </c>
      <c r="D412" s="10" t="s">
        <v>25</v>
      </c>
      <c r="E412" s="10" t="s">
        <v>8</v>
      </c>
      <c r="F412" s="11">
        <v>39838</v>
      </c>
      <c r="G412" s="10">
        <v>28</v>
      </c>
      <c r="H412" s="12">
        <v>221040</v>
      </c>
      <c r="I412" s="13" t="str">
        <f t="shared" si="6"/>
        <v>50-59</v>
      </c>
    </row>
    <row r="413" spans="1:9" x14ac:dyDescent="0.35">
      <c r="A413" s="9">
        <v>411</v>
      </c>
      <c r="B413" s="10">
        <v>9938</v>
      </c>
      <c r="C413" s="10">
        <v>34</v>
      </c>
      <c r="D413" s="10" t="s">
        <v>25</v>
      </c>
      <c r="E413" s="10" t="s">
        <v>13</v>
      </c>
      <c r="F413" s="11">
        <v>43211</v>
      </c>
      <c r="G413" s="10">
        <v>16</v>
      </c>
      <c r="H413" s="12">
        <v>133650</v>
      </c>
      <c r="I413" s="13" t="str">
        <f t="shared" si="6"/>
        <v>30-39</v>
      </c>
    </row>
    <row r="414" spans="1:9" x14ac:dyDescent="0.35">
      <c r="A414" s="9">
        <v>412</v>
      </c>
      <c r="B414" s="10">
        <v>4303</v>
      </c>
      <c r="C414" s="10">
        <v>31</v>
      </c>
      <c r="D414" s="10" t="s">
        <v>25</v>
      </c>
      <c r="E414" s="10" t="s">
        <v>10</v>
      </c>
      <c r="F414" s="11">
        <v>29544</v>
      </c>
      <c r="G414" s="10">
        <v>11</v>
      </c>
      <c r="H414" s="12">
        <v>93339</v>
      </c>
      <c r="I414" s="13" t="str">
        <f t="shared" si="6"/>
        <v>30-39</v>
      </c>
    </row>
    <row r="415" spans="1:9" x14ac:dyDescent="0.35">
      <c r="A415" s="9">
        <v>413</v>
      </c>
      <c r="B415" s="10">
        <v>4845</v>
      </c>
      <c r="C415" s="10">
        <v>42</v>
      </c>
      <c r="D415" s="10" t="s">
        <v>25</v>
      </c>
      <c r="E415" s="10" t="s">
        <v>8</v>
      </c>
      <c r="F415" s="11">
        <v>34104</v>
      </c>
      <c r="G415" s="10">
        <v>20</v>
      </c>
      <c r="H415" s="12">
        <v>163242</v>
      </c>
      <c r="I415" s="13" t="str">
        <f t="shared" si="6"/>
        <v>40-49</v>
      </c>
    </row>
    <row r="416" spans="1:9" x14ac:dyDescent="0.35">
      <c r="A416" s="9">
        <v>414</v>
      </c>
      <c r="B416" s="10">
        <v>8086</v>
      </c>
      <c r="C416" s="10">
        <v>36</v>
      </c>
      <c r="D416" s="10" t="s">
        <v>25</v>
      </c>
      <c r="E416" s="10" t="s">
        <v>14</v>
      </c>
      <c r="F416" s="11">
        <v>27530</v>
      </c>
      <c r="G416" s="10">
        <v>16</v>
      </c>
      <c r="H416" s="12">
        <v>126451</v>
      </c>
      <c r="I416" s="13" t="str">
        <f t="shared" si="6"/>
        <v>30-39</v>
      </c>
    </row>
    <row r="417" spans="1:9" x14ac:dyDescent="0.35">
      <c r="A417" s="9">
        <v>415</v>
      </c>
      <c r="B417" s="10">
        <v>4245</v>
      </c>
      <c r="C417" s="10">
        <v>23</v>
      </c>
      <c r="D417" s="10" t="s">
        <v>25</v>
      </c>
      <c r="E417" s="10" t="s">
        <v>13</v>
      </c>
      <c r="F417" s="11">
        <v>40832</v>
      </c>
      <c r="G417" s="10">
        <v>11</v>
      </c>
      <c r="H417" s="12">
        <v>91619</v>
      </c>
      <c r="I417" s="13" t="str">
        <f t="shared" si="6"/>
        <v>20-29</v>
      </c>
    </row>
    <row r="418" spans="1:9" x14ac:dyDescent="0.35">
      <c r="A418" s="9">
        <v>416</v>
      </c>
      <c r="B418" s="10">
        <v>6736</v>
      </c>
      <c r="C418" s="10">
        <v>43</v>
      </c>
      <c r="D418" s="10" t="s">
        <v>26</v>
      </c>
      <c r="E418" s="10" t="s">
        <v>10</v>
      </c>
      <c r="F418" s="11">
        <v>29109</v>
      </c>
      <c r="G418" s="10">
        <v>20</v>
      </c>
      <c r="H418" s="12">
        <v>171600</v>
      </c>
      <c r="I418" s="13" t="str">
        <f t="shared" si="6"/>
        <v>40-49</v>
      </c>
    </row>
    <row r="419" spans="1:9" x14ac:dyDescent="0.35">
      <c r="A419" s="9">
        <v>417</v>
      </c>
      <c r="B419" s="10">
        <v>9276</v>
      </c>
      <c r="C419" s="10">
        <v>23</v>
      </c>
      <c r="D419" s="10" t="s">
        <v>25</v>
      </c>
      <c r="E419" s="10" t="s">
        <v>14</v>
      </c>
      <c r="F419" s="11">
        <v>30383</v>
      </c>
      <c r="G419" s="10">
        <v>10</v>
      </c>
      <c r="H419" s="12">
        <v>75749</v>
      </c>
      <c r="I419" s="13" t="str">
        <f t="shared" si="6"/>
        <v>20-29</v>
      </c>
    </row>
    <row r="420" spans="1:9" x14ac:dyDescent="0.35">
      <c r="A420" s="9">
        <v>418</v>
      </c>
      <c r="B420" s="10">
        <v>4411</v>
      </c>
      <c r="C420" s="10">
        <v>36</v>
      </c>
      <c r="D420" s="10" t="s">
        <v>26</v>
      </c>
      <c r="E420" s="10" t="s">
        <v>10</v>
      </c>
      <c r="F420" s="11">
        <v>44176</v>
      </c>
      <c r="G420" s="10">
        <v>19</v>
      </c>
      <c r="H420" s="12">
        <v>146689</v>
      </c>
      <c r="I420" s="13" t="str">
        <f t="shared" si="6"/>
        <v>30-39</v>
      </c>
    </row>
    <row r="421" spans="1:9" x14ac:dyDescent="0.35">
      <c r="A421" s="9">
        <v>419</v>
      </c>
      <c r="B421" s="10">
        <v>3693</v>
      </c>
      <c r="C421" s="10">
        <v>36</v>
      </c>
      <c r="D421" s="10" t="s">
        <v>26</v>
      </c>
      <c r="E421" s="10" t="s">
        <v>14</v>
      </c>
      <c r="F421" s="11">
        <v>37730</v>
      </c>
      <c r="G421" s="10">
        <v>17</v>
      </c>
      <c r="H421" s="12">
        <v>141159</v>
      </c>
      <c r="I421" s="13" t="str">
        <f t="shared" si="6"/>
        <v>30-39</v>
      </c>
    </row>
    <row r="422" spans="1:9" x14ac:dyDescent="0.35">
      <c r="A422" s="9">
        <v>420</v>
      </c>
      <c r="B422" s="10">
        <v>1513</v>
      </c>
      <c r="C422" s="10">
        <v>41</v>
      </c>
      <c r="D422" s="10" t="s">
        <v>25</v>
      </c>
      <c r="E422" s="10" t="s">
        <v>8</v>
      </c>
      <c r="F422" s="11">
        <v>36515</v>
      </c>
      <c r="G422" s="10">
        <v>18</v>
      </c>
      <c r="H422" s="12">
        <v>143584</v>
      </c>
      <c r="I422" s="13" t="str">
        <f t="shared" si="6"/>
        <v>40-49</v>
      </c>
    </row>
    <row r="423" spans="1:9" x14ac:dyDescent="0.35">
      <c r="A423" s="9">
        <v>421</v>
      </c>
      <c r="B423" s="10">
        <v>6094</v>
      </c>
      <c r="C423" s="10">
        <v>30</v>
      </c>
      <c r="D423" s="10" t="s">
        <v>26</v>
      </c>
      <c r="E423" s="10" t="s">
        <v>10</v>
      </c>
      <c r="F423" s="11">
        <v>40968</v>
      </c>
      <c r="G423" s="10">
        <v>12</v>
      </c>
      <c r="H423" s="12">
        <v>92136</v>
      </c>
      <c r="I423" s="13" t="str">
        <f t="shared" si="6"/>
        <v>30-39</v>
      </c>
    </row>
    <row r="424" spans="1:9" x14ac:dyDescent="0.35">
      <c r="A424" s="9">
        <v>422</v>
      </c>
      <c r="B424" s="10">
        <v>9908</v>
      </c>
      <c r="C424" s="10">
        <v>53</v>
      </c>
      <c r="D424" s="10" t="s">
        <v>25</v>
      </c>
      <c r="E424" s="10" t="s">
        <v>14</v>
      </c>
      <c r="F424" s="11">
        <v>44748</v>
      </c>
      <c r="G424" s="10">
        <v>26</v>
      </c>
      <c r="H424" s="12">
        <v>204041</v>
      </c>
      <c r="I424" s="13" t="str">
        <f t="shared" si="6"/>
        <v>50-59</v>
      </c>
    </row>
    <row r="425" spans="1:9" x14ac:dyDescent="0.35">
      <c r="A425" s="9">
        <v>423</v>
      </c>
      <c r="B425" s="10">
        <v>5991</v>
      </c>
      <c r="C425" s="10">
        <v>60</v>
      </c>
      <c r="D425" s="10" t="s">
        <v>25</v>
      </c>
      <c r="E425" s="10" t="s">
        <v>13</v>
      </c>
      <c r="F425" s="11">
        <v>34393</v>
      </c>
      <c r="G425" s="10">
        <v>29</v>
      </c>
      <c r="H425" s="12">
        <v>227146</v>
      </c>
      <c r="I425" s="13" t="str">
        <f t="shared" si="6"/>
        <v>60+</v>
      </c>
    </row>
    <row r="426" spans="1:9" x14ac:dyDescent="0.35">
      <c r="A426" s="9">
        <v>424</v>
      </c>
      <c r="B426" s="10">
        <v>8398</v>
      </c>
      <c r="C426" s="10">
        <v>36</v>
      </c>
      <c r="D426" s="10" t="s">
        <v>26</v>
      </c>
      <c r="E426" s="10" t="s">
        <v>8</v>
      </c>
      <c r="F426" s="11">
        <v>30562</v>
      </c>
      <c r="G426" s="10">
        <v>14</v>
      </c>
      <c r="H426" s="12">
        <v>107232</v>
      </c>
      <c r="I426" s="13" t="str">
        <f t="shared" si="6"/>
        <v>30-39</v>
      </c>
    </row>
    <row r="427" spans="1:9" x14ac:dyDescent="0.35">
      <c r="A427" s="9">
        <v>425</v>
      </c>
      <c r="B427" s="10">
        <v>2660</v>
      </c>
      <c r="C427" s="10">
        <v>57</v>
      </c>
      <c r="D427" s="10" t="s">
        <v>25</v>
      </c>
      <c r="E427" s="10" t="s">
        <v>9</v>
      </c>
      <c r="F427" s="11">
        <v>42332</v>
      </c>
      <c r="G427" s="10">
        <v>28</v>
      </c>
      <c r="H427" s="12">
        <v>222824</v>
      </c>
      <c r="I427" s="13" t="str">
        <f t="shared" si="6"/>
        <v>50-59</v>
      </c>
    </row>
    <row r="428" spans="1:9" x14ac:dyDescent="0.35">
      <c r="A428" s="9">
        <v>426</v>
      </c>
      <c r="B428" s="10">
        <v>7255</v>
      </c>
      <c r="C428" s="10">
        <v>37</v>
      </c>
      <c r="D428" s="10" t="s">
        <v>25</v>
      </c>
      <c r="E428" s="10" t="s">
        <v>8</v>
      </c>
      <c r="F428" s="11">
        <v>40231</v>
      </c>
      <c r="G428" s="10">
        <v>21</v>
      </c>
      <c r="H428" s="12">
        <v>162790</v>
      </c>
      <c r="I428" s="13" t="str">
        <f t="shared" si="6"/>
        <v>30-39</v>
      </c>
    </row>
    <row r="429" spans="1:9" x14ac:dyDescent="0.35">
      <c r="A429" s="9">
        <v>427</v>
      </c>
      <c r="B429" s="10">
        <v>2687</v>
      </c>
      <c r="C429" s="10">
        <v>50</v>
      </c>
      <c r="D429" s="10" t="s">
        <v>26</v>
      </c>
      <c r="E429" s="10" t="s">
        <v>14</v>
      </c>
      <c r="F429" s="11">
        <v>38827</v>
      </c>
      <c r="G429" s="10">
        <v>18</v>
      </c>
      <c r="H429" s="12">
        <v>150069</v>
      </c>
      <c r="I429" s="13" t="str">
        <f t="shared" si="6"/>
        <v>50-59</v>
      </c>
    </row>
    <row r="430" spans="1:9" x14ac:dyDescent="0.35">
      <c r="A430" s="9">
        <v>428</v>
      </c>
      <c r="B430" s="10">
        <v>8717</v>
      </c>
      <c r="C430" s="10">
        <v>44</v>
      </c>
      <c r="D430" s="10" t="s">
        <v>25</v>
      </c>
      <c r="E430" s="10" t="s">
        <v>8</v>
      </c>
      <c r="F430" s="11">
        <v>36023</v>
      </c>
      <c r="G430" s="10">
        <v>22</v>
      </c>
      <c r="H430" s="12">
        <v>172707</v>
      </c>
      <c r="I430" s="13" t="str">
        <f t="shared" si="6"/>
        <v>40-49</v>
      </c>
    </row>
    <row r="431" spans="1:9" x14ac:dyDescent="0.35">
      <c r="A431" s="9">
        <v>429</v>
      </c>
      <c r="B431" s="10">
        <v>1471</v>
      </c>
      <c r="C431" s="10">
        <v>49</v>
      </c>
      <c r="D431" s="10" t="s">
        <v>25</v>
      </c>
      <c r="E431" s="10" t="s">
        <v>14</v>
      </c>
      <c r="F431" s="11">
        <v>44570</v>
      </c>
      <c r="G431" s="10">
        <v>25</v>
      </c>
      <c r="H431" s="12">
        <v>200491</v>
      </c>
      <c r="I431" s="13" t="str">
        <f t="shared" si="6"/>
        <v>40-49</v>
      </c>
    </row>
    <row r="432" spans="1:9" x14ac:dyDescent="0.35">
      <c r="A432" s="9">
        <v>430</v>
      </c>
      <c r="B432" s="10">
        <v>3188</v>
      </c>
      <c r="C432" s="10">
        <v>64</v>
      </c>
      <c r="D432" s="10" t="s">
        <v>25</v>
      </c>
      <c r="E432" s="10" t="s">
        <v>8</v>
      </c>
      <c r="F432" s="11">
        <v>31911</v>
      </c>
      <c r="G432" s="10">
        <v>31</v>
      </c>
      <c r="H432" s="12">
        <v>247653</v>
      </c>
      <c r="I432" s="13" t="str">
        <f t="shared" si="6"/>
        <v>60+</v>
      </c>
    </row>
    <row r="433" spans="1:9" x14ac:dyDescent="0.35">
      <c r="A433" s="9">
        <v>431</v>
      </c>
      <c r="B433" s="10">
        <v>7435</v>
      </c>
      <c r="C433" s="10">
        <v>49</v>
      </c>
      <c r="D433" s="10" t="s">
        <v>25</v>
      </c>
      <c r="E433" s="10" t="s">
        <v>8</v>
      </c>
      <c r="F433" s="11">
        <v>44346</v>
      </c>
      <c r="G433" s="10">
        <v>24</v>
      </c>
      <c r="H433" s="12">
        <v>191755</v>
      </c>
      <c r="I433" s="13" t="str">
        <f t="shared" si="6"/>
        <v>40-49</v>
      </c>
    </row>
    <row r="434" spans="1:9" x14ac:dyDescent="0.35">
      <c r="A434" s="9">
        <v>432</v>
      </c>
      <c r="B434" s="10">
        <v>2002</v>
      </c>
      <c r="C434" s="10">
        <v>27</v>
      </c>
      <c r="D434" s="10" t="s">
        <v>26</v>
      </c>
      <c r="E434" s="10" t="s">
        <v>9</v>
      </c>
      <c r="F434" s="11">
        <v>28895</v>
      </c>
      <c r="G434" s="10">
        <v>15</v>
      </c>
      <c r="H434" s="12">
        <v>125131</v>
      </c>
      <c r="I434" s="13" t="str">
        <f t="shared" si="6"/>
        <v>20-29</v>
      </c>
    </row>
    <row r="435" spans="1:9" x14ac:dyDescent="0.35">
      <c r="A435" s="9">
        <v>433</v>
      </c>
      <c r="B435" s="10">
        <v>5880</v>
      </c>
      <c r="C435" s="10">
        <v>42</v>
      </c>
      <c r="D435" s="10" t="s">
        <v>25</v>
      </c>
      <c r="E435" s="10" t="s">
        <v>9</v>
      </c>
      <c r="F435" s="11">
        <v>28684</v>
      </c>
      <c r="G435" s="10">
        <v>21</v>
      </c>
      <c r="H435" s="12">
        <v>164265</v>
      </c>
      <c r="I435" s="13" t="str">
        <f t="shared" si="6"/>
        <v>40-49</v>
      </c>
    </row>
    <row r="436" spans="1:9" x14ac:dyDescent="0.35">
      <c r="A436" s="9">
        <v>434</v>
      </c>
      <c r="B436" s="10">
        <v>4796</v>
      </c>
      <c r="C436" s="10">
        <v>28</v>
      </c>
      <c r="D436" s="10" t="s">
        <v>25</v>
      </c>
      <c r="E436" s="10" t="s">
        <v>9</v>
      </c>
      <c r="F436" s="11">
        <v>43273</v>
      </c>
      <c r="G436" s="10">
        <v>15</v>
      </c>
      <c r="H436" s="12">
        <v>109701</v>
      </c>
      <c r="I436" s="13" t="str">
        <f t="shared" si="6"/>
        <v>20-29</v>
      </c>
    </row>
    <row r="437" spans="1:9" x14ac:dyDescent="0.35">
      <c r="A437" s="9">
        <v>435</v>
      </c>
      <c r="B437" s="10">
        <v>7768</v>
      </c>
      <c r="C437" s="10">
        <v>53</v>
      </c>
      <c r="D437" s="10" t="s">
        <v>25</v>
      </c>
      <c r="E437" s="10" t="s">
        <v>9</v>
      </c>
      <c r="F437" s="11">
        <v>36352</v>
      </c>
      <c r="G437" s="10">
        <v>29</v>
      </c>
      <c r="H437" s="12">
        <v>238477</v>
      </c>
      <c r="I437" s="13" t="str">
        <f t="shared" si="6"/>
        <v>50-59</v>
      </c>
    </row>
    <row r="438" spans="1:9" x14ac:dyDescent="0.35">
      <c r="A438" s="9">
        <v>436</v>
      </c>
      <c r="B438" s="10">
        <v>4407</v>
      </c>
      <c r="C438" s="10">
        <v>48</v>
      </c>
      <c r="D438" s="10" t="s">
        <v>25</v>
      </c>
      <c r="E438" s="10" t="s">
        <v>13</v>
      </c>
      <c r="F438" s="11">
        <v>26090</v>
      </c>
      <c r="G438" s="10">
        <v>24</v>
      </c>
      <c r="H438" s="12">
        <v>193938</v>
      </c>
      <c r="I438" s="13" t="str">
        <f t="shared" si="6"/>
        <v>40-49</v>
      </c>
    </row>
    <row r="439" spans="1:9" x14ac:dyDescent="0.35">
      <c r="A439" s="9">
        <v>437</v>
      </c>
      <c r="B439" s="10">
        <v>4747</v>
      </c>
      <c r="C439" s="10">
        <v>49</v>
      </c>
      <c r="D439" s="10" t="s">
        <v>25</v>
      </c>
      <c r="E439" s="10" t="s">
        <v>10</v>
      </c>
      <c r="F439" s="11">
        <v>31380</v>
      </c>
      <c r="G439" s="10">
        <v>20</v>
      </c>
      <c r="H439" s="12">
        <v>156976</v>
      </c>
      <c r="I439" s="13" t="str">
        <f t="shared" si="6"/>
        <v>40-49</v>
      </c>
    </row>
    <row r="440" spans="1:9" x14ac:dyDescent="0.35">
      <c r="A440" s="9">
        <v>438</v>
      </c>
      <c r="B440" s="10">
        <v>9893</v>
      </c>
      <c r="C440" s="10">
        <v>54</v>
      </c>
      <c r="D440" s="10" t="s">
        <v>25</v>
      </c>
      <c r="E440" s="10" t="s">
        <v>9</v>
      </c>
      <c r="F440" s="11">
        <v>26556</v>
      </c>
      <c r="G440" s="10">
        <v>29</v>
      </c>
      <c r="H440" s="12">
        <v>229200</v>
      </c>
      <c r="I440" s="13" t="str">
        <f t="shared" si="6"/>
        <v>50-59</v>
      </c>
    </row>
    <row r="441" spans="1:9" x14ac:dyDescent="0.35">
      <c r="A441" s="9">
        <v>439</v>
      </c>
      <c r="B441" s="10">
        <v>1779</v>
      </c>
      <c r="C441" s="10">
        <v>47</v>
      </c>
      <c r="D441" s="10" t="s">
        <v>25</v>
      </c>
      <c r="E441" s="10" t="s">
        <v>9</v>
      </c>
      <c r="F441" s="11">
        <v>34147</v>
      </c>
      <c r="G441" s="10">
        <v>24</v>
      </c>
      <c r="H441" s="12">
        <v>194985</v>
      </c>
      <c r="I441" s="13" t="str">
        <f t="shared" si="6"/>
        <v>40-49</v>
      </c>
    </row>
    <row r="442" spans="1:9" x14ac:dyDescent="0.35">
      <c r="A442" s="9">
        <v>440</v>
      </c>
      <c r="B442" s="10">
        <v>3531</v>
      </c>
      <c r="C442" s="10">
        <v>40</v>
      </c>
      <c r="D442" s="10" t="s">
        <v>26</v>
      </c>
      <c r="E442" s="10" t="s">
        <v>13</v>
      </c>
      <c r="F442" s="11">
        <v>26725</v>
      </c>
      <c r="G442" s="10">
        <v>19</v>
      </c>
      <c r="H442" s="12">
        <v>150665</v>
      </c>
      <c r="I442" s="13" t="str">
        <f t="shared" si="6"/>
        <v>40-49</v>
      </c>
    </row>
    <row r="443" spans="1:9" x14ac:dyDescent="0.35">
      <c r="A443" s="9">
        <v>441</v>
      </c>
      <c r="B443" s="10">
        <v>9943</v>
      </c>
      <c r="C443" s="10">
        <v>45</v>
      </c>
      <c r="D443" s="10" t="s">
        <v>25</v>
      </c>
      <c r="E443" s="10" t="s">
        <v>10</v>
      </c>
      <c r="F443" s="11">
        <v>30111</v>
      </c>
      <c r="G443" s="10">
        <v>22</v>
      </c>
      <c r="H443" s="12">
        <v>187991</v>
      </c>
      <c r="I443" s="13" t="str">
        <f t="shared" si="6"/>
        <v>40-49</v>
      </c>
    </row>
    <row r="444" spans="1:9" x14ac:dyDescent="0.35">
      <c r="A444" s="9">
        <v>442</v>
      </c>
      <c r="B444" s="10">
        <v>6308</v>
      </c>
      <c r="C444" s="10">
        <v>55</v>
      </c>
      <c r="D444" s="10" t="s">
        <v>25</v>
      </c>
      <c r="E444" s="10" t="s">
        <v>10</v>
      </c>
      <c r="F444" s="11">
        <v>41218</v>
      </c>
      <c r="G444" s="10">
        <v>26</v>
      </c>
      <c r="H444" s="12">
        <v>202446</v>
      </c>
      <c r="I444" s="13" t="str">
        <f t="shared" si="6"/>
        <v>50-59</v>
      </c>
    </row>
    <row r="445" spans="1:9" x14ac:dyDescent="0.35">
      <c r="A445" s="9">
        <v>443</v>
      </c>
      <c r="B445" s="10">
        <v>4784</v>
      </c>
      <c r="C445" s="10">
        <v>55</v>
      </c>
      <c r="D445" s="10" t="s">
        <v>26</v>
      </c>
      <c r="E445" s="10" t="s">
        <v>8</v>
      </c>
      <c r="F445" s="11">
        <v>43451</v>
      </c>
      <c r="G445" s="10">
        <v>25</v>
      </c>
      <c r="H445" s="12">
        <v>203933</v>
      </c>
      <c r="I445" s="13" t="str">
        <f t="shared" si="6"/>
        <v>50-59</v>
      </c>
    </row>
    <row r="446" spans="1:9" x14ac:dyDescent="0.35">
      <c r="A446" s="9">
        <v>444</v>
      </c>
      <c r="B446" s="10">
        <v>8665</v>
      </c>
      <c r="C446" s="10">
        <v>59</v>
      </c>
      <c r="D446" s="10" t="s">
        <v>26</v>
      </c>
      <c r="E446" s="10" t="s">
        <v>9</v>
      </c>
      <c r="F446" s="11">
        <v>36814</v>
      </c>
      <c r="G446" s="10">
        <v>29</v>
      </c>
      <c r="H446" s="12">
        <v>234277</v>
      </c>
      <c r="I446" s="13" t="str">
        <f t="shared" si="6"/>
        <v>50-59</v>
      </c>
    </row>
    <row r="447" spans="1:9" x14ac:dyDescent="0.35">
      <c r="A447" s="9">
        <v>445</v>
      </c>
      <c r="B447" s="10">
        <v>8492</v>
      </c>
      <c r="C447" s="10">
        <v>54</v>
      </c>
      <c r="D447" s="10" t="s">
        <v>26</v>
      </c>
      <c r="E447" s="10" t="s">
        <v>13</v>
      </c>
      <c r="F447" s="11">
        <v>26443</v>
      </c>
      <c r="G447" s="10">
        <v>28</v>
      </c>
      <c r="H447" s="12">
        <v>225715</v>
      </c>
      <c r="I447" s="13" t="str">
        <f t="shared" si="6"/>
        <v>50-59</v>
      </c>
    </row>
    <row r="448" spans="1:9" x14ac:dyDescent="0.35">
      <c r="A448" s="9">
        <v>446</v>
      </c>
      <c r="B448" s="10">
        <v>2639</v>
      </c>
      <c r="C448" s="10">
        <v>24</v>
      </c>
      <c r="D448" s="10" t="s">
        <v>25</v>
      </c>
      <c r="E448" s="10" t="s">
        <v>13</v>
      </c>
      <c r="F448" s="11">
        <v>35453</v>
      </c>
      <c r="G448" s="10">
        <v>10</v>
      </c>
      <c r="H448" s="12">
        <v>75812</v>
      </c>
      <c r="I448" s="13" t="str">
        <f t="shared" si="6"/>
        <v>20-29</v>
      </c>
    </row>
    <row r="449" spans="1:9" x14ac:dyDescent="0.35">
      <c r="A449" s="9">
        <v>447</v>
      </c>
      <c r="B449" s="10">
        <v>3328</v>
      </c>
      <c r="C449" s="10">
        <v>24</v>
      </c>
      <c r="D449" s="10" t="s">
        <v>26</v>
      </c>
      <c r="E449" s="10" t="s">
        <v>9</v>
      </c>
      <c r="F449" s="11">
        <v>32021</v>
      </c>
      <c r="G449" s="10">
        <v>8</v>
      </c>
      <c r="H449" s="12">
        <v>68134</v>
      </c>
      <c r="I449" s="13" t="str">
        <f t="shared" si="6"/>
        <v>20-29</v>
      </c>
    </row>
    <row r="450" spans="1:9" x14ac:dyDescent="0.35">
      <c r="A450" s="9">
        <v>448</v>
      </c>
      <c r="B450" s="10">
        <v>3255</v>
      </c>
      <c r="C450" s="10">
        <v>48</v>
      </c>
      <c r="D450" s="10" t="s">
        <v>25</v>
      </c>
      <c r="E450" s="10" t="s">
        <v>8</v>
      </c>
      <c r="F450" s="11">
        <v>35729</v>
      </c>
      <c r="G450" s="10">
        <v>20</v>
      </c>
      <c r="H450" s="12">
        <v>155985</v>
      </c>
      <c r="I450" s="13" t="str">
        <f t="shared" si="6"/>
        <v>40-49</v>
      </c>
    </row>
    <row r="451" spans="1:9" x14ac:dyDescent="0.35">
      <c r="A451" s="9">
        <v>449</v>
      </c>
      <c r="B451" s="10">
        <v>4651</v>
      </c>
      <c r="C451" s="10">
        <v>50</v>
      </c>
      <c r="D451" s="10" t="s">
        <v>26</v>
      </c>
      <c r="E451" s="10" t="s">
        <v>8</v>
      </c>
      <c r="F451" s="11">
        <v>37779</v>
      </c>
      <c r="G451" s="10">
        <v>27</v>
      </c>
      <c r="H451" s="12">
        <v>222685</v>
      </c>
      <c r="I451" s="13" t="str">
        <f t="shared" ref="I451:I501" si="7">IF(C451&lt;30,"20-29",IF(C451&lt;40,"30-39",IF(C451&lt;50,"40-49",IF(C451&lt;60,"50-59","60+"))))</f>
        <v>50-59</v>
      </c>
    </row>
    <row r="452" spans="1:9" x14ac:dyDescent="0.35">
      <c r="A452" s="9">
        <v>450</v>
      </c>
      <c r="B452" s="10">
        <v>6391</v>
      </c>
      <c r="C452" s="10">
        <v>49</v>
      </c>
      <c r="D452" s="10" t="s">
        <v>25</v>
      </c>
      <c r="E452" s="10" t="s">
        <v>9</v>
      </c>
      <c r="F452" s="11">
        <v>38217</v>
      </c>
      <c r="G452" s="10">
        <v>28</v>
      </c>
      <c r="H452" s="12">
        <v>220500</v>
      </c>
      <c r="I452" s="13" t="str">
        <f t="shared" si="7"/>
        <v>40-49</v>
      </c>
    </row>
    <row r="453" spans="1:9" x14ac:dyDescent="0.35">
      <c r="A453" s="9">
        <v>451</v>
      </c>
      <c r="B453" s="10">
        <v>9655</v>
      </c>
      <c r="C453" s="10">
        <v>31</v>
      </c>
      <c r="D453" s="10" t="s">
        <v>26</v>
      </c>
      <c r="E453" s="10" t="s">
        <v>8</v>
      </c>
      <c r="F453" s="11">
        <v>39247</v>
      </c>
      <c r="G453" s="10">
        <v>15</v>
      </c>
      <c r="H453" s="12">
        <v>126388</v>
      </c>
      <c r="I453" s="13" t="str">
        <f t="shared" si="7"/>
        <v>30-39</v>
      </c>
    </row>
    <row r="454" spans="1:9" x14ac:dyDescent="0.35">
      <c r="A454" s="9">
        <v>452</v>
      </c>
      <c r="B454" s="10">
        <v>6856</v>
      </c>
      <c r="C454" s="10">
        <v>37</v>
      </c>
      <c r="D454" s="10" t="s">
        <v>26</v>
      </c>
      <c r="E454" s="10" t="s">
        <v>9</v>
      </c>
      <c r="F454" s="11">
        <v>39761</v>
      </c>
      <c r="G454" s="10">
        <v>21</v>
      </c>
      <c r="H454" s="12">
        <v>169212</v>
      </c>
      <c r="I454" s="13" t="str">
        <f t="shared" si="7"/>
        <v>30-39</v>
      </c>
    </row>
    <row r="455" spans="1:9" x14ac:dyDescent="0.35">
      <c r="A455" s="9">
        <v>453</v>
      </c>
      <c r="B455" s="10">
        <v>7141</v>
      </c>
      <c r="C455" s="10">
        <v>45</v>
      </c>
      <c r="D455" s="10" t="s">
        <v>26</v>
      </c>
      <c r="E455" s="10" t="s">
        <v>13</v>
      </c>
      <c r="F455" s="11">
        <v>38945</v>
      </c>
      <c r="G455" s="10">
        <v>24</v>
      </c>
      <c r="H455" s="12">
        <v>186015</v>
      </c>
      <c r="I455" s="13" t="str">
        <f t="shared" si="7"/>
        <v>40-49</v>
      </c>
    </row>
    <row r="456" spans="1:9" x14ac:dyDescent="0.35">
      <c r="A456" s="9">
        <v>454</v>
      </c>
      <c r="B456" s="10">
        <v>2259</v>
      </c>
      <c r="C456" s="10">
        <v>52</v>
      </c>
      <c r="D456" s="10" t="s">
        <v>26</v>
      </c>
      <c r="E456" s="10" t="s">
        <v>8</v>
      </c>
      <c r="F456" s="11">
        <v>44622</v>
      </c>
      <c r="G456" s="10">
        <v>27</v>
      </c>
      <c r="H456" s="12">
        <v>217544</v>
      </c>
      <c r="I456" s="13" t="str">
        <f t="shared" si="7"/>
        <v>50-59</v>
      </c>
    </row>
    <row r="457" spans="1:9" x14ac:dyDescent="0.35">
      <c r="A457" s="9">
        <v>455</v>
      </c>
      <c r="B457" s="10">
        <v>5518</v>
      </c>
      <c r="C457" s="10">
        <v>33</v>
      </c>
      <c r="D457" s="10" t="s">
        <v>26</v>
      </c>
      <c r="E457" s="10" t="s">
        <v>10</v>
      </c>
      <c r="F457" s="11">
        <v>44267</v>
      </c>
      <c r="G457" s="10">
        <v>17</v>
      </c>
      <c r="H457" s="12">
        <v>128767</v>
      </c>
      <c r="I457" s="13" t="str">
        <f t="shared" si="7"/>
        <v>30-39</v>
      </c>
    </row>
    <row r="458" spans="1:9" x14ac:dyDescent="0.35">
      <c r="A458" s="9">
        <v>456</v>
      </c>
      <c r="B458" s="10">
        <v>5641</v>
      </c>
      <c r="C458" s="10">
        <v>60</v>
      </c>
      <c r="D458" s="10" t="s">
        <v>25</v>
      </c>
      <c r="E458" s="10" t="s">
        <v>10</v>
      </c>
      <c r="F458" s="11">
        <v>40770</v>
      </c>
      <c r="G458" s="10">
        <v>27</v>
      </c>
      <c r="H458" s="12">
        <v>216812</v>
      </c>
      <c r="I458" s="13" t="str">
        <f t="shared" si="7"/>
        <v>60+</v>
      </c>
    </row>
    <row r="459" spans="1:9" x14ac:dyDescent="0.35">
      <c r="A459" s="9">
        <v>457</v>
      </c>
      <c r="B459" s="10">
        <v>8734</v>
      </c>
      <c r="C459" s="10">
        <v>50</v>
      </c>
      <c r="D459" s="10" t="s">
        <v>25</v>
      </c>
      <c r="E459" s="10" t="s">
        <v>13</v>
      </c>
      <c r="F459" s="11">
        <v>45227</v>
      </c>
      <c r="G459" s="10">
        <v>21</v>
      </c>
      <c r="H459" s="12">
        <v>174984</v>
      </c>
      <c r="I459" s="13" t="str">
        <f t="shared" si="7"/>
        <v>50-59</v>
      </c>
    </row>
    <row r="460" spans="1:9" x14ac:dyDescent="0.35">
      <c r="A460" s="9">
        <v>458</v>
      </c>
      <c r="B460" s="10">
        <v>7473</v>
      </c>
      <c r="C460" s="10">
        <v>49</v>
      </c>
      <c r="D460" s="10" t="s">
        <v>26</v>
      </c>
      <c r="E460" s="10" t="s">
        <v>9</v>
      </c>
      <c r="F460" s="11">
        <v>26908</v>
      </c>
      <c r="G460" s="10">
        <v>24</v>
      </c>
      <c r="H460" s="12">
        <v>192274</v>
      </c>
      <c r="I460" s="13" t="str">
        <f t="shared" si="7"/>
        <v>40-49</v>
      </c>
    </row>
    <row r="461" spans="1:9" x14ac:dyDescent="0.35">
      <c r="A461" s="9">
        <v>459</v>
      </c>
      <c r="B461" s="10">
        <v>8293</v>
      </c>
      <c r="C461" s="10">
        <v>52</v>
      </c>
      <c r="D461" s="10" t="s">
        <v>26</v>
      </c>
      <c r="E461" s="10" t="s">
        <v>14</v>
      </c>
      <c r="F461" s="11">
        <v>44236</v>
      </c>
      <c r="G461" s="10">
        <v>28</v>
      </c>
      <c r="H461" s="12">
        <v>216683</v>
      </c>
      <c r="I461" s="13" t="str">
        <f t="shared" si="7"/>
        <v>50-59</v>
      </c>
    </row>
    <row r="462" spans="1:9" x14ac:dyDescent="0.35">
      <c r="A462" s="9">
        <v>460</v>
      </c>
      <c r="B462" s="10">
        <v>1014</v>
      </c>
      <c r="C462" s="10">
        <v>51</v>
      </c>
      <c r="D462" s="10" t="s">
        <v>25</v>
      </c>
      <c r="E462" s="10" t="s">
        <v>13</v>
      </c>
      <c r="F462" s="11">
        <v>30822</v>
      </c>
      <c r="G462" s="10">
        <v>22</v>
      </c>
      <c r="H462" s="12">
        <v>184887</v>
      </c>
      <c r="I462" s="13" t="str">
        <f t="shared" si="7"/>
        <v>50-59</v>
      </c>
    </row>
    <row r="463" spans="1:9" x14ac:dyDescent="0.35">
      <c r="A463" s="9">
        <v>461</v>
      </c>
      <c r="B463" s="10">
        <v>4824</v>
      </c>
      <c r="C463" s="10">
        <v>42</v>
      </c>
      <c r="D463" s="10" t="s">
        <v>26</v>
      </c>
      <c r="E463" s="10" t="s">
        <v>9</v>
      </c>
      <c r="F463" s="11">
        <v>35023</v>
      </c>
      <c r="G463" s="10">
        <v>21</v>
      </c>
      <c r="H463" s="12">
        <v>160580</v>
      </c>
      <c r="I463" s="13" t="str">
        <f t="shared" si="7"/>
        <v>40-49</v>
      </c>
    </row>
    <row r="464" spans="1:9" x14ac:dyDescent="0.35">
      <c r="A464" s="9">
        <v>462</v>
      </c>
      <c r="B464" s="10">
        <v>8260</v>
      </c>
      <c r="C464" s="10">
        <v>55</v>
      </c>
      <c r="D464" s="10" t="s">
        <v>25</v>
      </c>
      <c r="E464" s="10" t="s">
        <v>10</v>
      </c>
      <c r="F464" s="11">
        <v>36030</v>
      </c>
      <c r="G464" s="10">
        <v>30</v>
      </c>
      <c r="H464" s="12">
        <v>245031</v>
      </c>
      <c r="I464" s="13" t="str">
        <f t="shared" si="7"/>
        <v>50-59</v>
      </c>
    </row>
    <row r="465" spans="1:9" x14ac:dyDescent="0.35">
      <c r="A465" s="9">
        <v>463</v>
      </c>
      <c r="B465" s="10">
        <v>8101</v>
      </c>
      <c r="C465" s="10">
        <v>52</v>
      </c>
      <c r="D465" s="10" t="s">
        <v>26</v>
      </c>
      <c r="E465" s="10" t="s">
        <v>13</v>
      </c>
      <c r="F465" s="11">
        <v>32226</v>
      </c>
      <c r="G465" s="10">
        <v>19</v>
      </c>
      <c r="H465" s="12">
        <v>148735</v>
      </c>
      <c r="I465" s="13" t="str">
        <f t="shared" si="7"/>
        <v>50-59</v>
      </c>
    </row>
    <row r="466" spans="1:9" x14ac:dyDescent="0.35">
      <c r="A466" s="9">
        <v>464</v>
      </c>
      <c r="B466" s="10">
        <v>1488</v>
      </c>
      <c r="C466" s="10">
        <v>44</v>
      </c>
      <c r="D466" s="10" t="s">
        <v>26</v>
      </c>
      <c r="E466" s="10" t="s">
        <v>13</v>
      </c>
      <c r="F466" s="11">
        <v>30126</v>
      </c>
      <c r="G466" s="10">
        <v>19</v>
      </c>
      <c r="H466" s="12">
        <v>150934</v>
      </c>
      <c r="I466" s="13" t="str">
        <f t="shared" si="7"/>
        <v>40-49</v>
      </c>
    </row>
    <row r="467" spans="1:9" x14ac:dyDescent="0.35">
      <c r="A467" s="9">
        <v>465</v>
      </c>
      <c r="B467" s="10">
        <v>9373</v>
      </c>
      <c r="C467" s="10">
        <v>52</v>
      </c>
      <c r="D467" s="10" t="s">
        <v>26</v>
      </c>
      <c r="E467" s="10" t="s">
        <v>10</v>
      </c>
      <c r="F467" s="11">
        <v>36780</v>
      </c>
      <c r="G467" s="10">
        <v>31</v>
      </c>
      <c r="H467" s="12">
        <v>249071</v>
      </c>
      <c r="I467" s="13" t="str">
        <f t="shared" si="7"/>
        <v>50-59</v>
      </c>
    </row>
    <row r="468" spans="1:9" x14ac:dyDescent="0.35">
      <c r="A468" s="9">
        <v>466</v>
      </c>
      <c r="B468" s="10">
        <v>2643</v>
      </c>
      <c r="C468" s="10">
        <v>53</v>
      </c>
      <c r="D468" s="10" t="s">
        <v>25</v>
      </c>
      <c r="E468" s="10" t="s">
        <v>13</v>
      </c>
      <c r="F468" s="11">
        <v>33270</v>
      </c>
      <c r="G468" s="10">
        <v>29</v>
      </c>
      <c r="H468" s="12">
        <v>235550</v>
      </c>
      <c r="I468" s="13" t="str">
        <f t="shared" si="7"/>
        <v>50-59</v>
      </c>
    </row>
    <row r="469" spans="1:9" x14ac:dyDescent="0.35">
      <c r="A469" s="9">
        <v>467</v>
      </c>
      <c r="B469" s="10">
        <v>1498</v>
      </c>
      <c r="C469" s="10">
        <v>36</v>
      </c>
      <c r="D469" s="10" t="s">
        <v>25</v>
      </c>
      <c r="E469" s="10" t="s">
        <v>9</v>
      </c>
      <c r="F469" s="11">
        <v>31936</v>
      </c>
      <c r="G469" s="10">
        <v>19</v>
      </c>
      <c r="H469" s="12">
        <v>151124</v>
      </c>
      <c r="I469" s="13" t="str">
        <f t="shared" si="7"/>
        <v>30-39</v>
      </c>
    </row>
    <row r="470" spans="1:9" x14ac:dyDescent="0.35">
      <c r="A470" s="9">
        <v>468</v>
      </c>
      <c r="B470" s="10">
        <v>1515</v>
      </c>
      <c r="C470" s="10">
        <v>39</v>
      </c>
      <c r="D470" s="10" t="s">
        <v>25</v>
      </c>
      <c r="E470" s="10" t="s">
        <v>9</v>
      </c>
      <c r="F470" s="11">
        <v>39364</v>
      </c>
      <c r="G470" s="10">
        <v>17</v>
      </c>
      <c r="H470" s="12">
        <v>140001</v>
      </c>
      <c r="I470" s="13" t="str">
        <f t="shared" si="7"/>
        <v>30-39</v>
      </c>
    </row>
    <row r="471" spans="1:9" x14ac:dyDescent="0.35">
      <c r="A471" s="9">
        <v>469</v>
      </c>
      <c r="B471" s="10">
        <v>1919</v>
      </c>
      <c r="C471" s="10">
        <v>23</v>
      </c>
      <c r="D471" s="10" t="s">
        <v>26</v>
      </c>
      <c r="E471" s="10" t="s">
        <v>13</v>
      </c>
      <c r="F471" s="11">
        <v>31298</v>
      </c>
      <c r="G471" s="10">
        <v>10</v>
      </c>
      <c r="H471" s="12">
        <v>78834</v>
      </c>
      <c r="I471" s="13" t="str">
        <f t="shared" si="7"/>
        <v>20-29</v>
      </c>
    </row>
    <row r="472" spans="1:9" x14ac:dyDescent="0.35">
      <c r="A472" s="9">
        <v>470</v>
      </c>
      <c r="B472" s="10">
        <v>4464</v>
      </c>
      <c r="C472" s="10">
        <v>27</v>
      </c>
      <c r="D472" s="10" t="s">
        <v>26</v>
      </c>
      <c r="E472" s="10" t="s">
        <v>14</v>
      </c>
      <c r="F472" s="11">
        <v>26061</v>
      </c>
      <c r="G472" s="10">
        <v>10</v>
      </c>
      <c r="H472" s="12">
        <v>82592</v>
      </c>
      <c r="I472" s="13" t="str">
        <f t="shared" si="7"/>
        <v>20-29</v>
      </c>
    </row>
    <row r="473" spans="1:9" x14ac:dyDescent="0.35">
      <c r="A473" s="9">
        <v>471</v>
      </c>
      <c r="B473" s="10">
        <v>6062</v>
      </c>
      <c r="C473" s="10">
        <v>27</v>
      </c>
      <c r="D473" s="10" t="s">
        <v>25</v>
      </c>
      <c r="E473" s="10" t="s">
        <v>13</v>
      </c>
      <c r="F473" s="11">
        <v>28054</v>
      </c>
      <c r="G473" s="10">
        <v>14</v>
      </c>
      <c r="H473" s="12">
        <v>115688</v>
      </c>
      <c r="I473" s="13" t="str">
        <f t="shared" si="7"/>
        <v>20-29</v>
      </c>
    </row>
    <row r="474" spans="1:9" x14ac:dyDescent="0.35">
      <c r="A474" s="9">
        <v>472</v>
      </c>
      <c r="B474" s="10">
        <v>8609</v>
      </c>
      <c r="C474" s="10">
        <v>60</v>
      </c>
      <c r="D474" s="10" t="s">
        <v>25</v>
      </c>
      <c r="E474" s="10" t="s">
        <v>9</v>
      </c>
      <c r="F474" s="11">
        <v>37524</v>
      </c>
      <c r="G474" s="10">
        <v>33</v>
      </c>
      <c r="H474" s="12">
        <v>263818</v>
      </c>
      <c r="I474" s="13" t="str">
        <f t="shared" si="7"/>
        <v>60+</v>
      </c>
    </row>
    <row r="475" spans="1:9" x14ac:dyDescent="0.35">
      <c r="A475" s="9">
        <v>473</v>
      </c>
      <c r="B475" s="10">
        <v>3523</v>
      </c>
      <c r="C475" s="10">
        <v>45</v>
      </c>
      <c r="D475" s="10" t="s">
        <v>25</v>
      </c>
      <c r="E475" s="10" t="s">
        <v>13</v>
      </c>
      <c r="F475" s="11">
        <v>28649</v>
      </c>
      <c r="G475" s="10">
        <v>23</v>
      </c>
      <c r="H475" s="12">
        <v>178139</v>
      </c>
      <c r="I475" s="13" t="str">
        <f t="shared" si="7"/>
        <v>40-49</v>
      </c>
    </row>
    <row r="476" spans="1:9" x14ac:dyDescent="0.35">
      <c r="A476" s="9">
        <v>474</v>
      </c>
      <c r="B476" s="10">
        <v>7576</v>
      </c>
      <c r="C476" s="10">
        <v>48</v>
      </c>
      <c r="D476" s="10" t="s">
        <v>26</v>
      </c>
      <c r="E476" s="10" t="s">
        <v>9</v>
      </c>
      <c r="F476" s="11">
        <v>38946</v>
      </c>
      <c r="G476" s="10">
        <v>24</v>
      </c>
      <c r="H476" s="12">
        <v>194575</v>
      </c>
      <c r="I476" s="13" t="str">
        <f t="shared" si="7"/>
        <v>40-49</v>
      </c>
    </row>
    <row r="477" spans="1:9" x14ac:dyDescent="0.35">
      <c r="A477" s="9">
        <v>475</v>
      </c>
      <c r="B477" s="10">
        <v>9175</v>
      </c>
      <c r="C477" s="10">
        <v>44</v>
      </c>
      <c r="D477" s="10" t="s">
        <v>26</v>
      </c>
      <c r="E477" s="10" t="s">
        <v>9</v>
      </c>
      <c r="F477" s="11">
        <v>27142</v>
      </c>
      <c r="G477" s="10">
        <v>27</v>
      </c>
      <c r="H477" s="12">
        <v>213467</v>
      </c>
      <c r="I477" s="13" t="str">
        <f t="shared" si="7"/>
        <v>40-49</v>
      </c>
    </row>
    <row r="478" spans="1:9" x14ac:dyDescent="0.35">
      <c r="A478" s="9">
        <v>476</v>
      </c>
      <c r="B478" s="10">
        <v>4299</v>
      </c>
      <c r="C478" s="10">
        <v>43</v>
      </c>
      <c r="D478" s="10" t="s">
        <v>26</v>
      </c>
      <c r="E478" s="10" t="s">
        <v>9</v>
      </c>
      <c r="F478" s="11">
        <v>45803</v>
      </c>
      <c r="G478" s="10">
        <v>19</v>
      </c>
      <c r="H478" s="12">
        <v>155006</v>
      </c>
      <c r="I478" s="13" t="str">
        <f t="shared" si="7"/>
        <v>40-49</v>
      </c>
    </row>
    <row r="479" spans="1:9" x14ac:dyDescent="0.35">
      <c r="A479" s="9">
        <v>477</v>
      </c>
      <c r="B479" s="10">
        <v>1747</v>
      </c>
      <c r="C479" s="10">
        <v>51</v>
      </c>
      <c r="D479" s="10" t="s">
        <v>26</v>
      </c>
      <c r="E479" s="10" t="s">
        <v>10</v>
      </c>
      <c r="F479" s="11">
        <v>31744</v>
      </c>
      <c r="G479" s="10">
        <v>24</v>
      </c>
      <c r="H479" s="12">
        <v>192646</v>
      </c>
      <c r="I479" s="13" t="str">
        <f t="shared" si="7"/>
        <v>50-59</v>
      </c>
    </row>
    <row r="480" spans="1:9" x14ac:dyDescent="0.35">
      <c r="A480" s="9">
        <v>478</v>
      </c>
      <c r="B480" s="10">
        <v>5284</v>
      </c>
      <c r="C480" s="10">
        <v>62</v>
      </c>
      <c r="D480" s="10" t="s">
        <v>25</v>
      </c>
      <c r="E480" s="10" t="s">
        <v>14</v>
      </c>
      <c r="F480" s="11">
        <v>27269</v>
      </c>
      <c r="G480" s="10">
        <v>29</v>
      </c>
      <c r="H480" s="12">
        <v>232123</v>
      </c>
      <c r="I480" s="13" t="str">
        <f t="shared" si="7"/>
        <v>60+</v>
      </c>
    </row>
    <row r="481" spans="1:9" x14ac:dyDescent="0.35">
      <c r="A481" s="9">
        <v>479</v>
      </c>
      <c r="B481" s="10">
        <v>3907</v>
      </c>
      <c r="C481" s="10">
        <v>56</v>
      </c>
      <c r="D481" s="10" t="s">
        <v>26</v>
      </c>
      <c r="E481" s="10" t="s">
        <v>9</v>
      </c>
      <c r="F481" s="11">
        <v>40741</v>
      </c>
      <c r="G481" s="10">
        <v>29</v>
      </c>
      <c r="H481" s="12">
        <v>229395</v>
      </c>
      <c r="I481" s="13" t="str">
        <f t="shared" si="7"/>
        <v>50-59</v>
      </c>
    </row>
    <row r="482" spans="1:9" x14ac:dyDescent="0.35">
      <c r="A482" s="9">
        <v>480</v>
      </c>
      <c r="B482" s="10">
        <v>3543</v>
      </c>
      <c r="C482" s="10">
        <v>45</v>
      </c>
      <c r="D482" s="10" t="s">
        <v>25</v>
      </c>
      <c r="E482" s="10" t="s">
        <v>10</v>
      </c>
      <c r="F482" s="11">
        <v>40877</v>
      </c>
      <c r="G482" s="10">
        <v>25</v>
      </c>
      <c r="H482" s="12">
        <v>202850</v>
      </c>
      <c r="I482" s="13" t="str">
        <f t="shared" si="7"/>
        <v>40-49</v>
      </c>
    </row>
    <row r="483" spans="1:9" x14ac:dyDescent="0.35">
      <c r="A483" s="9">
        <v>481</v>
      </c>
      <c r="B483" s="10">
        <v>5168</v>
      </c>
      <c r="C483" s="10">
        <v>23</v>
      </c>
      <c r="D483" s="10" t="s">
        <v>26</v>
      </c>
      <c r="E483" s="10" t="s">
        <v>14</v>
      </c>
      <c r="F483" s="11">
        <v>26750</v>
      </c>
      <c r="G483" s="10">
        <v>10</v>
      </c>
      <c r="H483" s="12">
        <v>85536</v>
      </c>
      <c r="I483" s="13" t="str">
        <f t="shared" si="7"/>
        <v>20-29</v>
      </c>
    </row>
    <row r="484" spans="1:9" x14ac:dyDescent="0.35">
      <c r="A484" s="9">
        <v>482</v>
      </c>
      <c r="B484" s="10">
        <v>2060</v>
      </c>
      <c r="C484" s="10">
        <v>42</v>
      </c>
      <c r="D484" s="10" t="s">
        <v>26</v>
      </c>
      <c r="E484" s="10" t="s">
        <v>13</v>
      </c>
      <c r="F484" s="11">
        <v>34634</v>
      </c>
      <c r="G484" s="10">
        <v>21</v>
      </c>
      <c r="H484" s="12">
        <v>172003</v>
      </c>
      <c r="I484" s="13" t="str">
        <f t="shared" si="7"/>
        <v>40-49</v>
      </c>
    </row>
    <row r="485" spans="1:9" x14ac:dyDescent="0.35">
      <c r="A485" s="9">
        <v>483</v>
      </c>
      <c r="B485" s="10">
        <v>5476</v>
      </c>
      <c r="C485" s="10">
        <v>56</v>
      </c>
      <c r="D485" s="10" t="s">
        <v>25</v>
      </c>
      <c r="E485" s="10" t="s">
        <v>8</v>
      </c>
      <c r="F485" s="11">
        <v>40881</v>
      </c>
      <c r="G485" s="10">
        <v>29</v>
      </c>
      <c r="H485" s="12">
        <v>235111</v>
      </c>
      <c r="I485" s="13" t="str">
        <f t="shared" si="7"/>
        <v>50-59</v>
      </c>
    </row>
    <row r="486" spans="1:9" x14ac:dyDescent="0.35">
      <c r="A486" s="9">
        <v>484</v>
      </c>
      <c r="B486" s="10">
        <v>5336</v>
      </c>
      <c r="C486" s="10">
        <v>60</v>
      </c>
      <c r="D486" s="10" t="s">
        <v>26</v>
      </c>
      <c r="E486" s="10" t="s">
        <v>9</v>
      </c>
      <c r="F486" s="11">
        <v>26158</v>
      </c>
      <c r="G486" s="10">
        <v>32</v>
      </c>
      <c r="H486" s="12">
        <v>248177</v>
      </c>
      <c r="I486" s="13" t="str">
        <f t="shared" si="7"/>
        <v>60+</v>
      </c>
    </row>
    <row r="487" spans="1:9" x14ac:dyDescent="0.35">
      <c r="A487" s="9">
        <v>485</v>
      </c>
      <c r="B487" s="10">
        <v>7226</v>
      </c>
      <c r="C487" s="10">
        <v>38</v>
      </c>
      <c r="D487" s="10" t="s">
        <v>26</v>
      </c>
      <c r="E487" s="10" t="s">
        <v>13</v>
      </c>
      <c r="F487" s="11">
        <v>43419</v>
      </c>
      <c r="G487" s="10">
        <v>25</v>
      </c>
      <c r="H487" s="12">
        <v>199358</v>
      </c>
      <c r="I487" s="13" t="str">
        <f t="shared" si="7"/>
        <v>30-39</v>
      </c>
    </row>
    <row r="488" spans="1:9" x14ac:dyDescent="0.35">
      <c r="A488" s="9">
        <v>486</v>
      </c>
      <c r="B488" s="10">
        <v>7799</v>
      </c>
      <c r="C488" s="10">
        <v>42</v>
      </c>
      <c r="D488" s="10" t="s">
        <v>25</v>
      </c>
      <c r="E488" s="10" t="s">
        <v>8</v>
      </c>
      <c r="F488" s="11">
        <v>31987</v>
      </c>
      <c r="G488" s="10">
        <v>24</v>
      </c>
      <c r="H488" s="12">
        <v>189242</v>
      </c>
      <c r="I488" s="13" t="str">
        <f t="shared" si="7"/>
        <v>40-49</v>
      </c>
    </row>
    <row r="489" spans="1:9" x14ac:dyDescent="0.35">
      <c r="A489" s="9">
        <v>487</v>
      </c>
      <c r="B489" s="10">
        <v>1518</v>
      </c>
      <c r="C489" s="10">
        <v>35</v>
      </c>
      <c r="D489" s="10" t="s">
        <v>26</v>
      </c>
      <c r="E489" s="10" t="s">
        <v>9</v>
      </c>
      <c r="F489" s="11">
        <v>36995</v>
      </c>
      <c r="G489" s="10">
        <v>14</v>
      </c>
      <c r="H489" s="12">
        <v>115170</v>
      </c>
      <c r="I489" s="13" t="str">
        <f t="shared" si="7"/>
        <v>30-39</v>
      </c>
    </row>
    <row r="490" spans="1:9" x14ac:dyDescent="0.35">
      <c r="A490" s="9">
        <v>488</v>
      </c>
      <c r="B490" s="10">
        <v>5175</v>
      </c>
      <c r="C490" s="10">
        <v>64</v>
      </c>
      <c r="D490" s="10" t="s">
        <v>25</v>
      </c>
      <c r="E490" s="10" t="s">
        <v>14</v>
      </c>
      <c r="F490" s="11">
        <v>37165</v>
      </c>
      <c r="G490" s="10">
        <v>35</v>
      </c>
      <c r="H490" s="12">
        <v>285886</v>
      </c>
      <c r="I490" s="13" t="str">
        <f t="shared" si="7"/>
        <v>60+</v>
      </c>
    </row>
    <row r="491" spans="1:9" x14ac:dyDescent="0.35">
      <c r="A491" s="9">
        <v>489</v>
      </c>
      <c r="B491" s="10">
        <v>8349</v>
      </c>
      <c r="C491" s="10">
        <v>48</v>
      </c>
      <c r="D491" s="10" t="s">
        <v>26</v>
      </c>
      <c r="E491" s="10" t="s">
        <v>14</v>
      </c>
      <c r="F491" s="11">
        <v>27176</v>
      </c>
      <c r="G491" s="10">
        <v>23</v>
      </c>
      <c r="H491" s="12">
        <v>177664</v>
      </c>
      <c r="I491" s="13" t="str">
        <f t="shared" si="7"/>
        <v>40-49</v>
      </c>
    </row>
    <row r="492" spans="1:9" x14ac:dyDescent="0.35">
      <c r="A492" s="9">
        <v>490</v>
      </c>
      <c r="B492" s="10">
        <v>2319</v>
      </c>
      <c r="C492" s="10">
        <v>29</v>
      </c>
      <c r="D492" s="10" t="s">
        <v>25</v>
      </c>
      <c r="E492" s="10" t="s">
        <v>10</v>
      </c>
      <c r="F492" s="11">
        <v>31692</v>
      </c>
      <c r="G492" s="10">
        <v>15</v>
      </c>
      <c r="H492" s="12">
        <v>113358</v>
      </c>
      <c r="I492" s="13" t="str">
        <f t="shared" si="7"/>
        <v>20-29</v>
      </c>
    </row>
    <row r="493" spans="1:9" x14ac:dyDescent="0.35">
      <c r="A493" s="9">
        <v>491</v>
      </c>
      <c r="B493" s="10">
        <v>5357</v>
      </c>
      <c r="C493" s="10">
        <v>27</v>
      </c>
      <c r="D493" s="10" t="s">
        <v>26</v>
      </c>
      <c r="E493" s="10" t="s">
        <v>8</v>
      </c>
      <c r="F493" s="11">
        <v>27720</v>
      </c>
      <c r="G493" s="10">
        <v>14</v>
      </c>
      <c r="H493" s="12">
        <v>115037</v>
      </c>
      <c r="I493" s="13" t="str">
        <f t="shared" si="7"/>
        <v>20-29</v>
      </c>
    </row>
    <row r="494" spans="1:9" x14ac:dyDescent="0.35">
      <c r="A494" s="9">
        <v>492</v>
      </c>
      <c r="B494" s="10">
        <v>6309</v>
      </c>
      <c r="C494" s="10">
        <v>43</v>
      </c>
      <c r="D494" s="10" t="s">
        <v>26</v>
      </c>
      <c r="E494" s="10" t="s">
        <v>13</v>
      </c>
      <c r="F494" s="11">
        <v>34266</v>
      </c>
      <c r="G494" s="10">
        <v>23</v>
      </c>
      <c r="H494" s="12">
        <v>183906</v>
      </c>
      <c r="I494" s="13" t="str">
        <f t="shared" si="7"/>
        <v>40-49</v>
      </c>
    </row>
    <row r="495" spans="1:9" x14ac:dyDescent="0.35">
      <c r="A495" s="9">
        <v>493</v>
      </c>
      <c r="B495" s="10">
        <v>3870</v>
      </c>
      <c r="C495" s="10">
        <v>42</v>
      </c>
      <c r="D495" s="10" t="s">
        <v>25</v>
      </c>
      <c r="E495" s="10" t="s">
        <v>14</v>
      </c>
      <c r="F495" s="11">
        <v>26681</v>
      </c>
      <c r="G495" s="10">
        <v>22</v>
      </c>
      <c r="H495" s="12">
        <v>176978</v>
      </c>
      <c r="I495" s="13" t="str">
        <f t="shared" si="7"/>
        <v>40-49</v>
      </c>
    </row>
    <row r="496" spans="1:9" x14ac:dyDescent="0.35">
      <c r="A496" s="9">
        <v>494</v>
      </c>
      <c r="B496" s="10">
        <v>3740</v>
      </c>
      <c r="C496" s="10">
        <v>59</v>
      </c>
      <c r="D496" s="10" t="s">
        <v>25</v>
      </c>
      <c r="E496" s="10" t="s">
        <v>13</v>
      </c>
      <c r="F496" s="11">
        <v>41789</v>
      </c>
      <c r="G496" s="10">
        <v>31</v>
      </c>
      <c r="H496" s="12">
        <v>257256</v>
      </c>
      <c r="I496" s="13" t="str">
        <f t="shared" si="7"/>
        <v>50-59</v>
      </c>
    </row>
    <row r="497" spans="1:9" x14ac:dyDescent="0.35">
      <c r="A497" s="9">
        <v>495</v>
      </c>
      <c r="B497" s="10">
        <v>8426</v>
      </c>
      <c r="C497" s="10">
        <v>32</v>
      </c>
      <c r="D497" s="10" t="s">
        <v>26</v>
      </c>
      <c r="E497" s="10" t="s">
        <v>10</v>
      </c>
      <c r="F497" s="11">
        <v>41612</v>
      </c>
      <c r="G497" s="10">
        <v>16</v>
      </c>
      <c r="H497" s="12">
        <v>126088</v>
      </c>
      <c r="I497" s="13" t="str">
        <f t="shared" si="7"/>
        <v>30-39</v>
      </c>
    </row>
    <row r="498" spans="1:9" x14ac:dyDescent="0.35">
      <c r="A498" s="9">
        <v>496</v>
      </c>
      <c r="B498" s="10">
        <v>9810</v>
      </c>
      <c r="C498" s="10">
        <v>26</v>
      </c>
      <c r="D498" s="10" t="s">
        <v>26</v>
      </c>
      <c r="E498" s="10" t="s">
        <v>14</v>
      </c>
      <c r="F498" s="11">
        <v>44683</v>
      </c>
      <c r="G498" s="10">
        <v>15</v>
      </c>
      <c r="H498" s="12">
        <v>118094</v>
      </c>
      <c r="I498" s="13" t="str">
        <f t="shared" si="7"/>
        <v>20-29</v>
      </c>
    </row>
    <row r="499" spans="1:9" x14ac:dyDescent="0.35">
      <c r="A499" s="9">
        <v>497</v>
      </c>
      <c r="B499" s="10">
        <v>5396</v>
      </c>
      <c r="C499" s="10">
        <v>34</v>
      </c>
      <c r="D499" s="10" t="s">
        <v>25</v>
      </c>
      <c r="E499" s="10" t="s">
        <v>8</v>
      </c>
      <c r="F499" s="11">
        <v>45769</v>
      </c>
      <c r="G499" s="10">
        <v>16</v>
      </c>
      <c r="H499" s="12">
        <v>131208</v>
      </c>
      <c r="I499" s="13" t="str">
        <f t="shared" si="7"/>
        <v>30-39</v>
      </c>
    </row>
    <row r="500" spans="1:9" x14ac:dyDescent="0.35">
      <c r="A500" s="9">
        <v>498</v>
      </c>
      <c r="B500" s="10">
        <v>7546</v>
      </c>
      <c r="C500" s="10">
        <v>60</v>
      </c>
      <c r="D500" s="10" t="s">
        <v>25</v>
      </c>
      <c r="E500" s="10" t="s">
        <v>13</v>
      </c>
      <c r="F500" s="11">
        <v>25581</v>
      </c>
      <c r="G500" s="10">
        <v>28</v>
      </c>
      <c r="H500" s="12">
        <v>224502</v>
      </c>
      <c r="I500" s="13" t="str">
        <f t="shared" si="7"/>
        <v>60+</v>
      </c>
    </row>
    <row r="501" spans="1:9" ht="15" thickBot="1" x14ac:dyDescent="0.4">
      <c r="A501" s="15">
        <v>499</v>
      </c>
      <c r="B501" s="16">
        <v>7744</v>
      </c>
      <c r="C501" s="16">
        <v>29</v>
      </c>
      <c r="D501" s="16" t="s">
        <v>26</v>
      </c>
      <c r="E501" s="16" t="s">
        <v>8</v>
      </c>
      <c r="F501" s="17">
        <v>32315</v>
      </c>
      <c r="G501" s="16">
        <v>15</v>
      </c>
      <c r="H501" s="18">
        <v>114758</v>
      </c>
      <c r="I501" s="19" t="str">
        <f t="shared" si="7"/>
        <v>20-29</v>
      </c>
    </row>
    <row r="502" spans="1:9" x14ac:dyDescent="0.35">
      <c r="H502" s="4">
        <f>SUM(H2:H501)</f>
        <v>85317186</v>
      </c>
    </row>
    <row r="503" spans="1:9" x14ac:dyDescent="0.35">
      <c r="H503"/>
    </row>
  </sheetData>
  <pageMargins left="0.7" right="0.7" top="0.75" bottom="0.75" header="0.3" footer="0.3"/>
  <extLst>
    <ext xmlns:x14="http://schemas.microsoft.com/office/spreadsheetml/2009/9/main" uri="{05C60535-1F16-4fd2-B633-F4F36F0B64E0}">
      <x14:sparklineGroups xmlns:xm="http://schemas.microsoft.com/office/excel/2006/main">
        <x14:sparklineGroup type="column" displayEmptyCellsAs="gap" xr2:uid="{2FB4723D-BD01-45F4-A1FA-15005048E325}">
          <x14:colorSeries rgb="FF376092"/>
          <x14:colorNegative rgb="FFD00000"/>
          <x14:colorAxis rgb="FF000000"/>
          <x14:colorMarkers rgb="FFD00000"/>
          <x14:colorFirst rgb="FFD00000"/>
          <x14:colorLast rgb="FFD00000"/>
          <x14:colorHigh rgb="FFD00000"/>
          <x14:colorLow rgb="FFD00000"/>
          <x14:sparklines>
            <x14:sparkline>
              <xm:f>'CLEANED DATA'!H2:H501</xm:f>
              <xm:sqref>H503</xm:sqref>
            </x14:sparkline>
          </x14:sparklines>
        </x14:sparklineGroup>
        <x14:sparklineGroup type="column" displayEmptyCellsAs="gap" xr2:uid="{9DB8A3EA-C164-4FCB-BAE8-EFC55C778CC9}">
          <x14:colorSeries theme="8" tint="0.39997558519241921"/>
          <x14:colorNegative theme="0" tint="-0.499984740745262"/>
          <x14:colorAxis rgb="FF000000"/>
          <x14:colorMarkers theme="8" tint="0.79998168889431442"/>
          <x14:colorFirst theme="8" tint="-0.249977111117893"/>
          <x14:colorLast theme="8" tint="-0.249977111117893"/>
          <x14:colorHigh theme="8" tint="-0.499984740745262"/>
          <x14:colorLow theme="8" tint="-0.499984740745262"/>
          <x14:sparklines>
            <x14:sparkline>
              <xm:f>'CLEANED DATA'!K5:K5</xm:f>
              <xm:sqref>K6</xm:sqref>
            </x14:sparkline>
          </x14:sparklines>
        </x14:sparklineGroup>
      </x14:sparklineGroup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F8D2E-BB82-4127-94DF-1D919E51A98D}">
  <dimension ref="A1:AI55"/>
  <sheetViews>
    <sheetView showGridLines="0" tabSelected="1" topLeftCell="K20" zoomScale="64" zoomScaleNormal="31" workbookViewId="0">
      <selection activeCell="AK36" sqref="AK36"/>
    </sheetView>
  </sheetViews>
  <sheetFormatPr defaultRowHeight="14.5" x14ac:dyDescent="0.35"/>
  <sheetData>
    <row r="1" spans="1:35" ht="14.5" customHeight="1" x14ac:dyDescent="0.35">
      <c r="A1" s="85"/>
      <c r="B1" s="85"/>
      <c r="C1" s="85"/>
      <c r="D1" s="85"/>
      <c r="E1" s="85"/>
      <c r="F1" s="85"/>
      <c r="G1" s="85"/>
      <c r="H1" s="85"/>
      <c r="I1" s="85"/>
      <c r="J1" s="85"/>
      <c r="K1" s="85"/>
      <c r="L1" s="85"/>
      <c r="M1" s="85"/>
      <c r="N1" s="85"/>
      <c r="O1" s="85"/>
      <c r="P1" s="85"/>
      <c r="Q1" s="85"/>
      <c r="R1" s="85"/>
      <c r="S1" s="85"/>
      <c r="T1" s="85"/>
      <c r="U1" s="85"/>
      <c r="V1" s="85"/>
      <c r="W1" s="85"/>
      <c r="X1" s="85"/>
      <c r="Y1" s="85"/>
      <c r="Z1" s="85"/>
      <c r="AA1" s="85"/>
      <c r="AB1" s="85"/>
      <c r="AC1" s="85"/>
      <c r="AD1" s="85"/>
      <c r="AE1" s="85"/>
      <c r="AF1" s="85"/>
      <c r="AG1" s="85"/>
      <c r="AH1" s="85"/>
      <c r="AI1" s="85"/>
    </row>
    <row r="2" spans="1:35" ht="14.5" customHeight="1" x14ac:dyDescent="0.35">
      <c r="A2" s="85"/>
      <c r="B2" s="85"/>
      <c r="C2" s="85"/>
      <c r="D2" s="85"/>
      <c r="E2" s="85"/>
      <c r="F2" s="85"/>
      <c r="G2" s="85"/>
      <c r="H2" s="85"/>
      <c r="I2" s="85"/>
      <c r="J2" s="85"/>
      <c r="K2" s="85"/>
      <c r="L2" s="85"/>
      <c r="M2" s="85"/>
      <c r="N2" s="85"/>
      <c r="O2" s="85"/>
      <c r="P2" s="85"/>
      <c r="Q2" s="85"/>
      <c r="R2" s="85"/>
      <c r="S2" s="85"/>
      <c r="T2" s="85"/>
      <c r="U2" s="85"/>
      <c r="V2" s="85"/>
      <c r="W2" s="85"/>
      <c r="X2" s="85"/>
      <c r="Y2" s="85"/>
      <c r="Z2" s="85"/>
      <c r="AA2" s="85"/>
      <c r="AB2" s="85"/>
      <c r="AC2" s="85"/>
      <c r="AD2" s="85"/>
      <c r="AE2" s="85"/>
      <c r="AF2" s="85"/>
      <c r="AG2" s="85"/>
      <c r="AH2" s="85"/>
      <c r="AI2" s="85"/>
    </row>
    <row r="3" spans="1:35" ht="14.5" customHeight="1" x14ac:dyDescent="0.35">
      <c r="A3" s="85"/>
      <c r="B3" s="85"/>
      <c r="C3" s="85"/>
      <c r="D3" s="85"/>
      <c r="E3" s="85"/>
      <c r="F3" s="85"/>
      <c r="G3" s="85"/>
      <c r="H3" s="85"/>
      <c r="I3" s="85"/>
      <c r="J3" s="85"/>
      <c r="K3" s="85"/>
      <c r="L3" s="85"/>
      <c r="M3" s="85"/>
      <c r="N3" s="85"/>
      <c r="O3" s="85"/>
      <c r="P3" s="85"/>
      <c r="Q3" s="85"/>
      <c r="R3" s="85"/>
      <c r="S3" s="85"/>
      <c r="T3" s="85"/>
      <c r="U3" s="85"/>
      <c r="V3" s="85"/>
      <c r="W3" s="85"/>
      <c r="X3" s="85"/>
      <c r="Y3" s="85"/>
      <c r="Z3" s="85"/>
      <c r="AA3" s="85"/>
      <c r="AB3" s="85"/>
      <c r="AC3" s="85"/>
      <c r="AD3" s="85"/>
      <c r="AE3" s="85"/>
      <c r="AF3" s="85"/>
      <c r="AG3" s="85"/>
      <c r="AH3" s="85"/>
      <c r="AI3" s="85"/>
    </row>
    <row r="4" spans="1:35" ht="14.5" customHeight="1" x14ac:dyDescent="0.35">
      <c r="A4" s="85"/>
      <c r="B4" s="85"/>
      <c r="C4" s="85"/>
      <c r="D4" s="85"/>
      <c r="E4" s="85"/>
      <c r="F4" s="85"/>
      <c r="G4" s="85"/>
      <c r="H4" s="85"/>
      <c r="I4" s="85"/>
      <c r="J4" s="85"/>
      <c r="K4" s="85"/>
      <c r="L4" s="85"/>
      <c r="M4" s="85"/>
      <c r="N4" s="85"/>
      <c r="O4" s="85"/>
      <c r="P4" s="85"/>
      <c r="Q4" s="85"/>
      <c r="R4" s="85"/>
      <c r="S4" s="85"/>
      <c r="T4" s="85"/>
      <c r="U4" s="85"/>
      <c r="V4" s="85"/>
      <c r="W4" s="85"/>
      <c r="X4" s="85"/>
      <c r="Y4" s="85"/>
      <c r="Z4" s="85"/>
      <c r="AA4" s="85"/>
      <c r="AB4" s="85"/>
      <c r="AC4" s="85"/>
      <c r="AD4" s="85"/>
      <c r="AE4" s="85"/>
      <c r="AF4" s="85"/>
      <c r="AG4" s="85"/>
      <c r="AH4" s="85"/>
      <c r="AI4" s="85"/>
    </row>
    <row r="5" spans="1:35" x14ac:dyDescent="0.35">
      <c r="A5" s="85"/>
      <c r="B5" s="85"/>
      <c r="C5" s="85"/>
      <c r="D5" s="85"/>
      <c r="E5" s="85"/>
      <c r="F5" s="85"/>
      <c r="G5" s="85"/>
      <c r="H5" s="85"/>
      <c r="I5" s="85"/>
      <c r="J5" s="85"/>
      <c r="K5" s="85"/>
      <c r="L5" s="85"/>
      <c r="M5" s="85"/>
      <c r="N5" s="85"/>
      <c r="O5" s="85"/>
      <c r="P5" s="85"/>
      <c r="Q5" s="85"/>
      <c r="R5" s="85"/>
      <c r="S5" s="85"/>
      <c r="T5" s="85"/>
      <c r="U5" s="85"/>
      <c r="V5" s="85"/>
      <c r="W5" s="85"/>
      <c r="X5" s="85"/>
      <c r="Y5" s="85"/>
      <c r="Z5" s="85"/>
      <c r="AA5" s="85"/>
      <c r="AB5" s="85"/>
      <c r="AC5" s="85"/>
      <c r="AD5" s="85"/>
      <c r="AE5" s="85"/>
      <c r="AF5" s="85"/>
      <c r="AG5" s="85"/>
      <c r="AH5" s="85"/>
      <c r="AI5" s="85"/>
    </row>
    <row r="6" spans="1:35" x14ac:dyDescent="0.35">
      <c r="A6" s="85"/>
      <c r="B6" s="85"/>
      <c r="C6" s="85"/>
      <c r="D6" s="85"/>
      <c r="E6" s="85"/>
      <c r="F6" s="85"/>
      <c r="G6" s="85"/>
      <c r="H6" s="85"/>
      <c r="I6" s="85"/>
      <c r="J6" s="85"/>
      <c r="K6" s="85"/>
      <c r="L6" s="85"/>
      <c r="M6" s="85"/>
      <c r="N6" s="85"/>
      <c r="O6" s="85"/>
      <c r="P6" s="85"/>
      <c r="Q6" s="85"/>
      <c r="R6" s="85"/>
      <c r="S6" s="85"/>
      <c r="T6" s="85"/>
      <c r="U6" s="85"/>
      <c r="V6" s="85"/>
      <c r="W6" s="85"/>
      <c r="X6" s="85"/>
      <c r="Y6" s="85"/>
      <c r="Z6" s="85"/>
      <c r="AA6" s="85"/>
      <c r="AB6" s="85"/>
      <c r="AC6" s="85"/>
      <c r="AD6" s="85"/>
      <c r="AE6" s="85"/>
      <c r="AF6" s="85"/>
      <c r="AG6" s="85"/>
      <c r="AH6" s="85"/>
      <c r="AI6" s="85"/>
    </row>
    <row r="7" spans="1:35" x14ac:dyDescent="0.35">
      <c r="A7" s="85"/>
      <c r="B7" s="85"/>
      <c r="C7" s="85"/>
      <c r="D7" s="85"/>
      <c r="E7" s="85"/>
      <c r="F7" s="85"/>
      <c r="G7" s="85"/>
      <c r="H7" s="85"/>
      <c r="I7" s="85"/>
      <c r="J7" s="85"/>
      <c r="K7" s="85"/>
      <c r="L7" s="85"/>
      <c r="M7" s="85"/>
      <c r="N7" s="85"/>
      <c r="O7" s="85"/>
      <c r="P7" s="85"/>
      <c r="Q7" s="85"/>
      <c r="R7" s="85"/>
      <c r="S7" s="85"/>
      <c r="T7" s="85"/>
      <c r="U7" s="85"/>
      <c r="V7" s="85"/>
      <c r="W7" s="85"/>
      <c r="X7" s="85"/>
      <c r="Y7" s="85"/>
      <c r="Z7" s="85"/>
      <c r="AA7" s="85"/>
      <c r="AB7" s="85"/>
      <c r="AC7" s="85"/>
      <c r="AD7" s="85"/>
      <c r="AE7" s="85"/>
      <c r="AF7" s="85"/>
      <c r="AG7" s="85"/>
      <c r="AH7" s="85"/>
      <c r="AI7" s="85"/>
    </row>
    <row r="8" spans="1:35" x14ac:dyDescent="0.35">
      <c r="A8" s="85"/>
      <c r="B8" s="85"/>
      <c r="C8" s="85"/>
      <c r="D8" s="85"/>
      <c r="E8" s="85"/>
      <c r="F8" s="85"/>
      <c r="G8" s="85"/>
      <c r="H8" s="85"/>
      <c r="I8" s="85"/>
      <c r="J8" s="85"/>
      <c r="K8" s="85"/>
      <c r="L8" s="85"/>
      <c r="M8" s="85"/>
      <c r="N8" s="85"/>
      <c r="O8" s="85"/>
      <c r="P8" s="85"/>
      <c r="Q8" s="85"/>
      <c r="R8" s="85"/>
      <c r="S8" s="85"/>
      <c r="T8" s="85"/>
      <c r="U8" s="85"/>
      <c r="V8" s="85"/>
      <c r="W8" s="85"/>
      <c r="X8" s="85"/>
      <c r="Y8" s="85"/>
      <c r="Z8" s="85"/>
      <c r="AA8" s="85"/>
      <c r="AB8" s="85"/>
      <c r="AC8" s="85"/>
      <c r="AD8" s="85"/>
      <c r="AE8" s="85"/>
      <c r="AF8" s="85"/>
      <c r="AG8" s="85"/>
      <c r="AH8" s="85"/>
      <c r="AI8" s="85"/>
    </row>
    <row r="9" spans="1:35" x14ac:dyDescent="0.35">
      <c r="A9" s="85"/>
      <c r="B9" s="85"/>
      <c r="C9" s="85"/>
      <c r="D9" s="85"/>
      <c r="E9" s="85"/>
      <c r="F9" s="85"/>
      <c r="G9" s="85"/>
      <c r="H9" s="85"/>
      <c r="I9" s="85"/>
      <c r="J9" s="85"/>
      <c r="K9" s="85"/>
      <c r="L9" s="85"/>
      <c r="M9" s="85"/>
      <c r="N9" s="85"/>
      <c r="O9" s="85"/>
      <c r="P9" s="85"/>
      <c r="Q9" s="85"/>
      <c r="R9" s="85"/>
      <c r="S9" s="85"/>
      <c r="T9" s="85"/>
      <c r="U9" s="85"/>
      <c r="V9" s="85"/>
      <c r="W9" s="85"/>
      <c r="X9" s="85"/>
      <c r="Y9" s="85"/>
      <c r="Z9" s="85"/>
      <c r="AA9" s="85"/>
      <c r="AB9" s="85"/>
      <c r="AC9" s="85"/>
      <c r="AD9" s="85"/>
      <c r="AE9" s="85"/>
      <c r="AF9" s="85"/>
      <c r="AG9" s="85"/>
      <c r="AH9" s="85"/>
      <c r="AI9" s="85"/>
    </row>
    <row r="10" spans="1:35" x14ac:dyDescent="0.35">
      <c r="A10" s="85"/>
      <c r="B10" s="85"/>
      <c r="C10" s="85"/>
      <c r="D10" s="85"/>
      <c r="E10" s="85"/>
      <c r="F10" s="85"/>
      <c r="G10" s="85"/>
      <c r="H10" s="85"/>
      <c r="I10" s="85"/>
      <c r="J10" s="85"/>
      <c r="K10" s="85"/>
      <c r="L10" s="85"/>
      <c r="M10" s="85"/>
      <c r="N10" s="85"/>
      <c r="O10" s="85"/>
      <c r="P10" s="85"/>
      <c r="Q10" s="85"/>
      <c r="R10" s="85"/>
      <c r="S10" s="85"/>
      <c r="T10" s="85"/>
      <c r="U10" s="85"/>
      <c r="V10" s="85"/>
      <c r="W10" s="85"/>
      <c r="X10" s="85"/>
      <c r="Y10" s="85"/>
      <c r="Z10" s="85"/>
      <c r="AA10" s="85"/>
      <c r="AB10" s="85"/>
      <c r="AC10" s="85"/>
      <c r="AD10" s="85"/>
      <c r="AE10" s="85"/>
      <c r="AF10" s="85"/>
      <c r="AG10" s="85"/>
      <c r="AH10" s="85"/>
      <c r="AI10" s="85"/>
    </row>
    <row r="11" spans="1:35" x14ac:dyDescent="0.35">
      <c r="A11" s="85"/>
      <c r="B11" s="85"/>
      <c r="C11" s="85"/>
      <c r="D11" s="85"/>
      <c r="E11" s="85"/>
      <c r="F11" s="85"/>
      <c r="G11" s="85"/>
      <c r="H11" s="85"/>
      <c r="I11" s="85"/>
      <c r="J11" s="85"/>
      <c r="K11" s="85"/>
      <c r="L11" s="85"/>
      <c r="M11" s="85"/>
      <c r="N11" s="85"/>
      <c r="O11" s="85"/>
      <c r="P11" s="85"/>
      <c r="Q11" s="85"/>
      <c r="R11" s="85"/>
      <c r="S11" s="85"/>
      <c r="T11" s="85"/>
      <c r="U11" s="85"/>
      <c r="V11" s="85"/>
      <c r="W11" s="85"/>
      <c r="X11" s="85"/>
      <c r="Y11" s="85"/>
      <c r="Z11" s="85"/>
      <c r="AA11" s="85"/>
      <c r="AB11" s="85"/>
      <c r="AC11" s="85"/>
      <c r="AD11" s="85"/>
      <c r="AE11" s="85"/>
      <c r="AF11" s="85"/>
      <c r="AG11" s="85"/>
      <c r="AH11" s="85"/>
      <c r="AI11" s="85"/>
    </row>
    <row r="12" spans="1:35" x14ac:dyDescent="0.35">
      <c r="A12" s="85"/>
      <c r="B12" s="85"/>
      <c r="C12" s="85"/>
      <c r="D12" s="85"/>
      <c r="E12" s="85"/>
      <c r="F12" s="85"/>
      <c r="G12" s="85"/>
      <c r="H12" s="85"/>
      <c r="I12" s="85"/>
      <c r="J12" s="85"/>
      <c r="K12" s="85"/>
      <c r="L12" s="85"/>
      <c r="M12" s="85"/>
      <c r="N12" s="85"/>
      <c r="O12" s="85"/>
      <c r="P12" s="85"/>
      <c r="Q12" s="85"/>
      <c r="R12" s="85"/>
      <c r="S12" s="85"/>
      <c r="T12" s="85"/>
      <c r="U12" s="85"/>
      <c r="V12" s="85"/>
      <c r="W12" s="85"/>
      <c r="X12" s="85"/>
      <c r="Y12" s="85"/>
      <c r="Z12" s="85"/>
      <c r="AA12" s="85"/>
      <c r="AB12" s="85"/>
      <c r="AC12" s="85"/>
      <c r="AD12" s="85"/>
      <c r="AE12" s="85"/>
      <c r="AF12" s="85"/>
      <c r="AG12" s="85"/>
      <c r="AH12" s="85"/>
      <c r="AI12" s="85"/>
    </row>
    <row r="13" spans="1:35" x14ac:dyDescent="0.35">
      <c r="A13" s="85"/>
      <c r="B13" s="85"/>
      <c r="C13" s="85"/>
      <c r="D13" s="85"/>
      <c r="E13" s="85"/>
      <c r="F13" s="85"/>
      <c r="G13" s="85"/>
      <c r="H13" s="85"/>
      <c r="I13" s="85"/>
      <c r="J13" s="85"/>
      <c r="K13" s="85"/>
      <c r="L13" s="85"/>
      <c r="M13" s="85"/>
      <c r="N13" s="85"/>
      <c r="O13" s="85"/>
      <c r="P13" s="85"/>
      <c r="Q13" s="85"/>
      <c r="R13" s="85"/>
      <c r="S13" s="85"/>
      <c r="T13" s="85"/>
      <c r="U13" s="85"/>
      <c r="V13" s="85"/>
      <c r="W13" s="85"/>
      <c r="X13" s="85"/>
      <c r="Y13" s="85"/>
      <c r="Z13" s="85"/>
      <c r="AA13" s="85"/>
      <c r="AB13" s="85"/>
      <c r="AC13" s="85"/>
      <c r="AD13" s="85"/>
      <c r="AE13" s="85"/>
      <c r="AF13" s="85"/>
      <c r="AG13" s="85"/>
      <c r="AH13" s="85"/>
      <c r="AI13" s="85"/>
    </row>
    <row r="14" spans="1:35" x14ac:dyDescent="0.35">
      <c r="A14" s="85"/>
      <c r="B14" s="85"/>
      <c r="C14" s="85"/>
      <c r="D14" s="85"/>
      <c r="E14" s="85"/>
      <c r="F14" s="85"/>
      <c r="G14" s="85"/>
      <c r="H14" s="85"/>
      <c r="I14" s="85"/>
      <c r="J14" s="85"/>
      <c r="K14" s="85"/>
      <c r="L14" s="85"/>
      <c r="M14" s="85"/>
      <c r="N14" s="85"/>
      <c r="O14" s="85"/>
      <c r="P14" s="85"/>
      <c r="Q14" s="85"/>
      <c r="R14" s="85"/>
      <c r="S14" s="85"/>
      <c r="T14" s="85"/>
      <c r="U14" s="85"/>
      <c r="V14" s="85"/>
      <c r="W14" s="85"/>
      <c r="X14" s="85"/>
      <c r="Y14" s="85"/>
      <c r="Z14" s="85"/>
      <c r="AA14" s="85"/>
      <c r="AB14" s="85"/>
      <c r="AC14" s="85"/>
      <c r="AD14" s="85"/>
      <c r="AE14" s="85"/>
      <c r="AF14" s="85"/>
      <c r="AG14" s="85"/>
      <c r="AH14" s="85"/>
      <c r="AI14" s="85"/>
    </row>
    <row r="15" spans="1:35" x14ac:dyDescent="0.35">
      <c r="A15" s="85"/>
      <c r="B15" s="85"/>
      <c r="C15" s="85"/>
      <c r="D15" s="85"/>
      <c r="E15" s="85"/>
      <c r="F15" s="85"/>
      <c r="G15" s="85"/>
      <c r="H15" s="85"/>
      <c r="I15" s="85"/>
      <c r="J15" s="85"/>
      <c r="K15" s="85"/>
      <c r="L15" s="85"/>
      <c r="M15" s="85"/>
      <c r="N15" s="85"/>
      <c r="O15" s="85"/>
      <c r="P15" s="85"/>
      <c r="Q15" s="85"/>
      <c r="R15" s="85"/>
      <c r="S15" s="85"/>
      <c r="T15" s="85"/>
      <c r="U15" s="85"/>
      <c r="V15" s="85"/>
      <c r="W15" s="85"/>
      <c r="X15" s="85"/>
      <c r="Y15" s="85"/>
      <c r="Z15" s="85"/>
      <c r="AA15" s="85"/>
      <c r="AB15" s="85"/>
      <c r="AC15" s="85"/>
      <c r="AD15" s="85"/>
      <c r="AE15" s="85"/>
      <c r="AF15" s="85"/>
      <c r="AG15" s="85"/>
      <c r="AH15" s="85"/>
      <c r="AI15" s="85"/>
    </row>
    <row r="16" spans="1:35" x14ac:dyDescent="0.35">
      <c r="A16" s="85"/>
      <c r="B16" s="85"/>
      <c r="C16" s="85"/>
      <c r="D16" s="85"/>
      <c r="E16" s="85"/>
      <c r="F16" s="85"/>
      <c r="G16" s="85"/>
      <c r="H16" s="85"/>
      <c r="I16" s="85"/>
      <c r="J16" s="85"/>
      <c r="K16" s="85"/>
      <c r="L16" s="85"/>
      <c r="M16" s="85"/>
      <c r="N16" s="85"/>
      <c r="O16" s="85"/>
      <c r="P16" s="85"/>
      <c r="Q16" s="85"/>
      <c r="R16" s="85"/>
      <c r="S16" s="85"/>
      <c r="T16" s="85"/>
      <c r="U16" s="85"/>
      <c r="V16" s="85"/>
      <c r="W16" s="85"/>
      <c r="X16" s="85"/>
      <c r="Y16" s="85"/>
      <c r="Z16" s="85"/>
      <c r="AA16" s="85"/>
      <c r="AB16" s="85"/>
      <c r="AC16" s="85"/>
      <c r="AD16" s="85"/>
      <c r="AE16" s="85"/>
      <c r="AF16" s="85"/>
      <c r="AG16" s="85"/>
      <c r="AH16" s="85"/>
      <c r="AI16" s="85"/>
    </row>
    <row r="17" spans="1:35" x14ac:dyDescent="0.35">
      <c r="A17" s="85"/>
      <c r="B17" s="85"/>
      <c r="C17" s="85"/>
      <c r="D17" s="85"/>
      <c r="E17" s="85"/>
      <c r="F17" s="85"/>
      <c r="G17" s="85"/>
      <c r="H17" s="85"/>
      <c r="I17" s="85"/>
      <c r="J17" s="85"/>
      <c r="K17" s="85"/>
      <c r="L17" s="85"/>
      <c r="M17" s="85"/>
      <c r="N17" s="85"/>
      <c r="O17" s="85"/>
      <c r="P17" s="85"/>
      <c r="Q17" s="85"/>
      <c r="R17" s="85"/>
      <c r="S17" s="85"/>
      <c r="T17" s="85"/>
      <c r="U17" s="85"/>
      <c r="V17" s="85"/>
      <c r="W17" s="85"/>
      <c r="X17" s="85"/>
      <c r="Y17" s="85"/>
      <c r="Z17" s="85"/>
      <c r="AA17" s="85"/>
      <c r="AB17" s="85"/>
      <c r="AC17" s="85"/>
      <c r="AD17" s="85"/>
      <c r="AE17" s="85"/>
      <c r="AF17" s="85"/>
      <c r="AG17" s="85"/>
      <c r="AH17" s="85"/>
      <c r="AI17" s="85"/>
    </row>
    <row r="18" spans="1:35" x14ac:dyDescent="0.35">
      <c r="A18" s="85"/>
      <c r="B18" s="85"/>
      <c r="C18" s="85"/>
      <c r="D18" s="85"/>
      <c r="E18" s="85"/>
      <c r="F18" s="85"/>
      <c r="G18" s="85"/>
      <c r="H18" s="85"/>
      <c r="I18" s="85"/>
      <c r="J18" s="85"/>
      <c r="K18" s="85"/>
      <c r="L18" s="85"/>
      <c r="M18" s="85"/>
      <c r="N18" s="85"/>
      <c r="O18" s="85"/>
      <c r="P18" s="85"/>
      <c r="Q18" s="85"/>
      <c r="R18" s="85"/>
      <c r="S18" s="85"/>
      <c r="T18" s="85"/>
      <c r="U18" s="85"/>
      <c r="V18" s="85"/>
      <c r="W18" s="85"/>
      <c r="X18" s="85"/>
      <c r="Y18" s="85"/>
      <c r="Z18" s="85"/>
      <c r="AA18" s="85"/>
      <c r="AB18" s="85"/>
      <c r="AC18" s="85"/>
      <c r="AD18" s="85"/>
      <c r="AE18" s="85"/>
      <c r="AF18" s="85"/>
      <c r="AG18" s="85"/>
      <c r="AH18" s="85"/>
      <c r="AI18" s="85"/>
    </row>
    <row r="19" spans="1:35" x14ac:dyDescent="0.35">
      <c r="A19" s="85"/>
      <c r="B19" s="85"/>
      <c r="C19" s="85"/>
      <c r="D19" s="85"/>
      <c r="E19" s="85"/>
      <c r="F19" s="85"/>
      <c r="G19" s="85"/>
      <c r="H19" s="85"/>
      <c r="I19" s="85"/>
      <c r="J19" s="85"/>
      <c r="K19" s="85"/>
      <c r="L19" s="85"/>
      <c r="M19" s="85"/>
      <c r="N19" s="85"/>
      <c r="O19" s="85"/>
      <c r="P19" s="85"/>
      <c r="Q19" s="85"/>
      <c r="R19" s="85"/>
      <c r="S19" s="85"/>
      <c r="T19" s="85"/>
      <c r="U19" s="85"/>
      <c r="V19" s="85"/>
      <c r="W19" s="85"/>
      <c r="X19" s="85"/>
      <c r="Y19" s="85"/>
      <c r="Z19" s="85"/>
      <c r="AA19" s="85"/>
      <c r="AB19" s="85"/>
      <c r="AC19" s="85"/>
      <c r="AD19" s="85"/>
      <c r="AE19" s="85"/>
      <c r="AF19" s="85"/>
      <c r="AG19" s="85"/>
      <c r="AH19" s="85"/>
      <c r="AI19" s="85"/>
    </row>
    <row r="20" spans="1:35" x14ac:dyDescent="0.35">
      <c r="A20" s="85"/>
      <c r="B20" s="85"/>
      <c r="C20" s="85"/>
      <c r="D20" s="85"/>
      <c r="E20" s="85"/>
      <c r="F20" s="85"/>
      <c r="G20" s="85"/>
      <c r="H20" s="85"/>
      <c r="I20" s="85"/>
      <c r="J20" s="85"/>
      <c r="K20" s="85"/>
      <c r="L20" s="85"/>
      <c r="M20" s="85"/>
      <c r="N20" s="85"/>
      <c r="O20" s="85"/>
      <c r="P20" s="85"/>
      <c r="Q20" s="85"/>
      <c r="R20" s="85"/>
      <c r="S20" s="85"/>
      <c r="T20" s="85"/>
      <c r="U20" s="85"/>
      <c r="V20" s="85"/>
      <c r="W20" s="85"/>
      <c r="X20" s="85"/>
      <c r="Y20" s="85"/>
      <c r="Z20" s="85"/>
      <c r="AA20" s="85"/>
      <c r="AB20" s="85"/>
      <c r="AC20" s="85"/>
      <c r="AD20" s="85"/>
      <c r="AE20" s="85"/>
      <c r="AF20" s="85"/>
      <c r="AG20" s="85"/>
      <c r="AH20" s="85"/>
      <c r="AI20" s="85"/>
    </row>
    <row r="21" spans="1:35" x14ac:dyDescent="0.35">
      <c r="A21" s="85"/>
      <c r="B21" s="85"/>
      <c r="C21" s="85"/>
      <c r="D21" s="85"/>
      <c r="E21" s="85"/>
      <c r="F21" s="85"/>
      <c r="G21" s="85"/>
      <c r="H21" s="85"/>
      <c r="I21" s="85"/>
      <c r="J21" s="85"/>
      <c r="K21" s="85"/>
      <c r="L21" s="85"/>
      <c r="M21" s="85"/>
      <c r="N21" s="85"/>
      <c r="O21" s="85"/>
      <c r="P21" s="85"/>
      <c r="Q21" s="85"/>
      <c r="R21" s="85"/>
      <c r="S21" s="85"/>
      <c r="T21" s="85"/>
      <c r="U21" s="85"/>
      <c r="V21" s="85"/>
      <c r="W21" s="85"/>
      <c r="X21" s="85"/>
      <c r="Y21" s="85"/>
      <c r="Z21" s="85"/>
      <c r="AA21" s="85"/>
      <c r="AB21" s="85"/>
      <c r="AC21" s="85"/>
      <c r="AD21" s="85"/>
      <c r="AE21" s="85"/>
      <c r="AF21" s="85"/>
      <c r="AG21" s="85"/>
      <c r="AH21" s="85"/>
      <c r="AI21" s="85"/>
    </row>
    <row r="22" spans="1:35" x14ac:dyDescent="0.35">
      <c r="A22" s="85"/>
      <c r="B22" s="85"/>
      <c r="C22" s="85"/>
      <c r="D22" s="85"/>
      <c r="E22" s="85"/>
      <c r="F22" s="85"/>
      <c r="G22" s="85"/>
      <c r="H22" s="85"/>
      <c r="I22" s="85"/>
      <c r="J22" s="85"/>
      <c r="K22" s="85"/>
      <c r="L22" s="85"/>
      <c r="M22" s="85"/>
      <c r="N22" s="85"/>
      <c r="O22" s="85"/>
      <c r="P22" s="85"/>
      <c r="Q22" s="85"/>
      <c r="R22" s="85"/>
      <c r="S22" s="85"/>
      <c r="T22" s="85"/>
      <c r="U22" s="85"/>
      <c r="V22" s="85"/>
      <c r="W22" s="85"/>
      <c r="X22" s="85"/>
      <c r="Y22" s="85"/>
      <c r="Z22" s="85"/>
      <c r="AA22" s="85"/>
      <c r="AB22" s="85"/>
      <c r="AC22" s="85"/>
      <c r="AD22" s="85"/>
      <c r="AE22" s="85"/>
      <c r="AF22" s="85"/>
      <c r="AG22" s="85"/>
      <c r="AH22" s="85"/>
      <c r="AI22" s="85"/>
    </row>
    <row r="23" spans="1:35" x14ac:dyDescent="0.35">
      <c r="A23" s="85"/>
      <c r="B23" s="85"/>
      <c r="C23" s="85"/>
      <c r="D23" s="85"/>
      <c r="E23" s="85"/>
      <c r="F23" s="85"/>
      <c r="G23" s="85"/>
      <c r="H23" s="85"/>
      <c r="I23" s="85"/>
      <c r="J23" s="85"/>
      <c r="K23" s="85"/>
      <c r="L23" s="85"/>
      <c r="M23" s="85"/>
      <c r="N23" s="85"/>
      <c r="O23" s="85"/>
      <c r="P23" s="85"/>
      <c r="Q23" s="85"/>
      <c r="R23" s="85"/>
      <c r="S23" s="85"/>
      <c r="T23" s="85"/>
      <c r="U23" s="85"/>
      <c r="V23" s="85"/>
      <c r="W23" s="85"/>
      <c r="X23" s="85"/>
      <c r="Y23" s="85"/>
      <c r="Z23" s="85"/>
      <c r="AA23" s="85"/>
      <c r="AB23" s="85"/>
      <c r="AC23" s="85"/>
      <c r="AD23" s="85"/>
      <c r="AE23" s="85"/>
      <c r="AF23" s="85"/>
      <c r="AG23" s="85"/>
      <c r="AH23" s="85"/>
      <c r="AI23" s="85"/>
    </row>
    <row r="24" spans="1:35" x14ac:dyDescent="0.35">
      <c r="A24" s="85"/>
      <c r="B24" s="85"/>
      <c r="C24" s="85"/>
      <c r="D24" s="85"/>
      <c r="E24" s="85"/>
      <c r="F24" s="85"/>
      <c r="G24" s="85"/>
      <c r="H24" s="85"/>
      <c r="I24" s="85"/>
      <c r="J24" s="85"/>
      <c r="K24" s="85"/>
      <c r="L24" s="85"/>
      <c r="M24" s="85"/>
      <c r="N24" s="85"/>
      <c r="O24" s="85"/>
      <c r="P24" s="85"/>
      <c r="Q24" s="85"/>
      <c r="R24" s="85"/>
      <c r="S24" s="85"/>
      <c r="T24" s="85"/>
      <c r="U24" s="85"/>
      <c r="V24" s="85"/>
      <c r="W24" s="85"/>
      <c r="X24" s="85"/>
      <c r="Y24" s="85"/>
      <c r="Z24" s="85"/>
      <c r="AA24" s="85"/>
      <c r="AB24" s="85"/>
      <c r="AC24" s="85"/>
      <c r="AD24" s="85"/>
      <c r="AE24" s="85"/>
      <c r="AF24" s="85"/>
      <c r="AG24" s="85"/>
      <c r="AH24" s="85"/>
      <c r="AI24" s="85"/>
    </row>
    <row r="25" spans="1:35" x14ac:dyDescent="0.35">
      <c r="A25" s="85"/>
      <c r="B25" s="85"/>
      <c r="C25" s="85"/>
      <c r="D25" s="85"/>
      <c r="E25" s="85"/>
      <c r="F25" s="85"/>
      <c r="G25" s="85"/>
      <c r="H25" s="85"/>
      <c r="I25" s="85"/>
      <c r="J25" s="85"/>
      <c r="K25" s="85"/>
      <c r="L25" s="85"/>
      <c r="M25" s="85"/>
      <c r="N25" s="85"/>
      <c r="O25" s="85"/>
      <c r="P25" s="85"/>
      <c r="Q25" s="85"/>
      <c r="R25" s="85"/>
      <c r="S25" s="85"/>
      <c r="T25" s="85"/>
      <c r="U25" s="85"/>
      <c r="V25" s="85"/>
      <c r="W25" s="85"/>
      <c r="X25" s="85"/>
      <c r="Y25" s="85"/>
      <c r="Z25" s="85"/>
      <c r="AA25" s="85"/>
      <c r="AB25" s="85"/>
      <c r="AC25" s="85"/>
      <c r="AD25" s="85"/>
      <c r="AE25" s="85"/>
      <c r="AF25" s="85"/>
      <c r="AG25" s="85"/>
      <c r="AH25" s="85"/>
      <c r="AI25" s="85"/>
    </row>
    <row r="26" spans="1:35" x14ac:dyDescent="0.35">
      <c r="A26" s="85"/>
      <c r="B26" s="85"/>
      <c r="C26" s="85"/>
      <c r="D26" s="85"/>
      <c r="E26" s="85"/>
      <c r="F26" s="85"/>
      <c r="G26" s="85"/>
      <c r="H26" s="85"/>
      <c r="I26" s="85"/>
      <c r="J26" s="85"/>
      <c r="K26" s="85"/>
      <c r="L26" s="85"/>
      <c r="M26" s="85"/>
      <c r="N26" s="85"/>
      <c r="O26" s="85"/>
      <c r="P26" s="85"/>
      <c r="Q26" s="85"/>
      <c r="R26" s="85"/>
      <c r="S26" s="85"/>
      <c r="T26" s="85"/>
      <c r="U26" s="85"/>
      <c r="V26" s="85"/>
      <c r="W26" s="85"/>
      <c r="X26" s="85"/>
      <c r="Y26" s="85"/>
      <c r="Z26" s="85"/>
      <c r="AA26" s="85"/>
      <c r="AB26" s="85"/>
      <c r="AC26" s="85"/>
      <c r="AD26" s="85"/>
      <c r="AE26" s="85"/>
      <c r="AF26" s="85"/>
      <c r="AG26" s="85"/>
      <c r="AH26" s="85"/>
      <c r="AI26" s="85"/>
    </row>
    <row r="27" spans="1:35" x14ac:dyDescent="0.35">
      <c r="A27" s="85"/>
      <c r="B27" s="85"/>
      <c r="C27" s="85"/>
      <c r="D27" s="85"/>
      <c r="E27" s="85"/>
      <c r="F27" s="85"/>
      <c r="G27" s="85"/>
      <c r="H27" s="85"/>
      <c r="I27" s="85"/>
      <c r="J27" s="85"/>
      <c r="K27" s="85"/>
      <c r="L27" s="85"/>
      <c r="M27" s="85"/>
      <c r="N27" s="85"/>
      <c r="O27" s="85"/>
      <c r="P27" s="85"/>
      <c r="Q27" s="85"/>
      <c r="R27" s="85"/>
      <c r="S27" s="85"/>
      <c r="T27" s="85"/>
      <c r="U27" s="85"/>
      <c r="V27" s="85"/>
      <c r="W27" s="85"/>
      <c r="X27" s="85"/>
      <c r="Y27" s="85"/>
      <c r="Z27" s="85"/>
      <c r="AA27" s="85"/>
      <c r="AB27" s="85"/>
      <c r="AC27" s="85"/>
      <c r="AD27" s="85"/>
      <c r="AE27" s="85"/>
      <c r="AF27" s="85"/>
      <c r="AG27" s="85"/>
      <c r="AH27" s="85"/>
      <c r="AI27" s="85"/>
    </row>
    <row r="28" spans="1:35" x14ac:dyDescent="0.35">
      <c r="A28" s="85"/>
      <c r="B28" s="85"/>
      <c r="C28" s="85"/>
      <c r="D28" s="85"/>
      <c r="E28" s="85"/>
      <c r="F28" s="85"/>
      <c r="G28" s="85"/>
      <c r="H28" s="85"/>
      <c r="I28" s="85"/>
      <c r="J28" s="85"/>
      <c r="K28" s="85"/>
      <c r="L28" s="85"/>
      <c r="M28" s="85"/>
      <c r="N28" s="85"/>
      <c r="O28" s="85"/>
      <c r="P28" s="85"/>
      <c r="Q28" s="85"/>
      <c r="R28" s="85"/>
      <c r="S28" s="85"/>
      <c r="T28" s="85"/>
      <c r="U28" s="85"/>
      <c r="V28" s="85"/>
      <c r="W28" s="85"/>
      <c r="X28" s="85"/>
      <c r="Y28" s="85"/>
      <c r="Z28" s="85"/>
      <c r="AA28" s="85"/>
      <c r="AB28" s="85"/>
      <c r="AC28" s="85"/>
      <c r="AD28" s="85"/>
      <c r="AE28" s="85"/>
      <c r="AF28" s="85"/>
      <c r="AG28" s="85"/>
      <c r="AH28" s="85"/>
      <c r="AI28" s="85"/>
    </row>
    <row r="29" spans="1:35" x14ac:dyDescent="0.35">
      <c r="A29" s="85"/>
      <c r="B29" s="85"/>
      <c r="C29" s="85"/>
      <c r="D29" s="85"/>
      <c r="E29" s="85"/>
      <c r="F29" s="85"/>
      <c r="G29" s="85"/>
      <c r="H29" s="85"/>
      <c r="I29" s="85"/>
      <c r="J29" s="85"/>
      <c r="K29" s="85"/>
      <c r="L29" s="85"/>
      <c r="M29" s="85"/>
      <c r="N29" s="85"/>
      <c r="O29" s="85"/>
      <c r="P29" s="85"/>
      <c r="Q29" s="85"/>
      <c r="R29" s="85"/>
      <c r="S29" s="85"/>
      <c r="T29" s="85"/>
      <c r="U29" s="85"/>
      <c r="V29" s="85"/>
      <c r="W29" s="85"/>
      <c r="X29" s="85"/>
      <c r="Y29" s="85"/>
      <c r="Z29" s="85"/>
      <c r="AA29" s="85"/>
      <c r="AB29" s="85"/>
      <c r="AC29" s="85"/>
      <c r="AD29" s="85"/>
      <c r="AE29" s="85"/>
      <c r="AF29" s="85"/>
      <c r="AG29" s="85"/>
      <c r="AH29" s="85"/>
      <c r="AI29" s="85"/>
    </row>
    <row r="30" spans="1:35" x14ac:dyDescent="0.35">
      <c r="A30" s="85"/>
      <c r="B30" s="85"/>
      <c r="C30" s="85"/>
      <c r="D30" s="85"/>
      <c r="E30" s="85"/>
      <c r="F30" s="85"/>
      <c r="G30" s="85"/>
      <c r="H30" s="85"/>
      <c r="I30" s="85"/>
      <c r="J30" s="85"/>
      <c r="K30" s="85"/>
      <c r="L30" s="85"/>
      <c r="M30" s="85"/>
      <c r="N30" s="85"/>
      <c r="O30" s="85"/>
      <c r="P30" s="85"/>
      <c r="Q30" s="85"/>
      <c r="R30" s="85"/>
      <c r="S30" s="85"/>
      <c r="T30" s="85"/>
      <c r="U30" s="85"/>
      <c r="V30" s="85"/>
      <c r="W30" s="85"/>
      <c r="X30" s="85"/>
      <c r="Y30" s="85"/>
      <c r="Z30" s="85"/>
      <c r="AA30" s="85"/>
      <c r="AB30" s="85"/>
      <c r="AC30" s="85"/>
      <c r="AD30" s="85"/>
      <c r="AE30" s="85"/>
      <c r="AF30" s="85"/>
      <c r="AG30" s="85"/>
      <c r="AH30" s="85"/>
      <c r="AI30" s="85"/>
    </row>
    <row r="31" spans="1:35" x14ac:dyDescent="0.35">
      <c r="A31" s="85"/>
      <c r="B31" s="85"/>
      <c r="C31" s="85"/>
      <c r="D31" s="85"/>
      <c r="E31" s="85"/>
      <c r="F31" s="85"/>
      <c r="G31" s="85"/>
      <c r="H31" s="85"/>
      <c r="I31" s="85"/>
      <c r="J31" s="85"/>
      <c r="K31" s="85"/>
      <c r="L31" s="85"/>
      <c r="M31" s="85"/>
      <c r="N31" s="85"/>
      <c r="O31" s="85"/>
      <c r="P31" s="85"/>
      <c r="Q31" s="85"/>
      <c r="R31" s="85"/>
      <c r="S31" s="85"/>
      <c r="T31" s="85"/>
      <c r="U31" s="85"/>
      <c r="V31" s="85"/>
      <c r="W31" s="85"/>
      <c r="X31" s="85"/>
      <c r="Y31" s="85"/>
      <c r="Z31" s="85"/>
      <c r="AA31" s="85"/>
      <c r="AB31" s="85"/>
      <c r="AC31" s="85"/>
      <c r="AD31" s="85"/>
      <c r="AE31" s="85"/>
      <c r="AF31" s="85"/>
      <c r="AG31" s="85"/>
      <c r="AH31" s="85"/>
      <c r="AI31" s="85"/>
    </row>
    <row r="32" spans="1:35" x14ac:dyDescent="0.35">
      <c r="A32" s="85"/>
      <c r="B32" s="85"/>
      <c r="C32" s="85"/>
      <c r="D32" s="85"/>
      <c r="E32" s="85"/>
      <c r="F32" s="85"/>
      <c r="G32" s="85"/>
      <c r="H32" s="85"/>
      <c r="I32" s="85"/>
      <c r="J32" s="85"/>
      <c r="K32" s="85"/>
      <c r="L32" s="85"/>
      <c r="M32" s="85"/>
      <c r="N32" s="85"/>
      <c r="O32" s="85"/>
      <c r="P32" s="85"/>
      <c r="Q32" s="85"/>
      <c r="R32" s="85"/>
      <c r="S32" s="85"/>
      <c r="T32" s="85"/>
      <c r="U32" s="85"/>
      <c r="V32" s="85"/>
      <c r="W32" s="85"/>
      <c r="X32" s="85"/>
      <c r="Y32" s="85"/>
      <c r="Z32" s="85"/>
      <c r="AA32" s="85"/>
      <c r="AB32" s="85"/>
      <c r="AC32" s="85"/>
      <c r="AD32" s="85"/>
      <c r="AE32" s="85"/>
      <c r="AF32" s="85"/>
      <c r="AG32" s="85"/>
      <c r="AH32" s="85"/>
      <c r="AI32" s="85"/>
    </row>
    <row r="33" spans="1:35" x14ac:dyDescent="0.35">
      <c r="A33" s="85"/>
      <c r="B33" s="85"/>
      <c r="C33" s="85"/>
      <c r="D33" s="85"/>
      <c r="E33" s="85"/>
      <c r="F33" s="85"/>
      <c r="G33" s="85"/>
      <c r="H33" s="85"/>
      <c r="I33" s="85"/>
      <c r="J33" s="85"/>
      <c r="K33" s="85"/>
      <c r="L33" s="85"/>
      <c r="M33" s="85"/>
      <c r="N33" s="85"/>
      <c r="O33" s="85"/>
      <c r="P33" s="85"/>
      <c r="Q33" s="85"/>
      <c r="R33" s="85"/>
      <c r="S33" s="85"/>
      <c r="T33" s="85"/>
      <c r="U33" s="85"/>
      <c r="V33" s="85"/>
      <c r="W33" s="85"/>
      <c r="X33" s="85"/>
      <c r="Y33" s="85"/>
      <c r="Z33" s="85"/>
      <c r="AA33" s="85"/>
      <c r="AB33" s="85"/>
      <c r="AC33" s="85"/>
      <c r="AD33" s="85"/>
      <c r="AE33" s="85"/>
      <c r="AF33" s="85"/>
      <c r="AG33" s="85"/>
      <c r="AH33" s="85"/>
      <c r="AI33" s="85"/>
    </row>
    <row r="34" spans="1:35" x14ac:dyDescent="0.35">
      <c r="A34" s="85"/>
      <c r="B34" s="85"/>
      <c r="C34" s="85"/>
      <c r="D34" s="85"/>
      <c r="E34" s="85"/>
      <c r="F34" s="85"/>
      <c r="G34" s="85"/>
      <c r="H34" s="85"/>
      <c r="I34" s="85"/>
      <c r="J34" s="85"/>
      <c r="K34" s="85"/>
      <c r="L34" s="85"/>
      <c r="M34" s="85"/>
      <c r="N34" s="85"/>
      <c r="O34" s="85"/>
      <c r="P34" s="85"/>
      <c r="Q34" s="85"/>
      <c r="R34" s="85"/>
      <c r="S34" s="85"/>
      <c r="T34" s="85"/>
      <c r="U34" s="85"/>
      <c r="V34" s="85"/>
      <c r="W34" s="85"/>
      <c r="X34" s="85"/>
      <c r="Y34" s="85"/>
      <c r="Z34" s="85"/>
      <c r="AA34" s="85"/>
      <c r="AB34" s="85"/>
      <c r="AC34" s="85"/>
      <c r="AD34" s="85"/>
      <c r="AE34" s="85"/>
      <c r="AF34" s="85"/>
      <c r="AG34" s="85"/>
      <c r="AH34" s="85"/>
      <c r="AI34" s="85"/>
    </row>
    <row r="35" spans="1:35" x14ac:dyDescent="0.35">
      <c r="A35" s="85"/>
      <c r="B35" s="85"/>
      <c r="C35" s="85"/>
      <c r="D35" s="85"/>
      <c r="E35" s="85"/>
      <c r="F35" s="85"/>
      <c r="G35" s="85"/>
      <c r="H35" s="85"/>
      <c r="I35" s="85"/>
      <c r="J35" s="85"/>
      <c r="K35" s="85"/>
      <c r="L35" s="85"/>
      <c r="M35" s="85"/>
      <c r="N35" s="85"/>
      <c r="O35" s="85"/>
      <c r="P35" s="85"/>
      <c r="Q35" s="85"/>
      <c r="R35" s="85"/>
      <c r="S35" s="85"/>
      <c r="T35" s="85"/>
      <c r="U35" s="85"/>
      <c r="V35" s="85"/>
      <c r="W35" s="85"/>
      <c r="X35" s="85"/>
      <c r="Y35" s="85"/>
      <c r="Z35" s="85"/>
      <c r="AA35" s="85"/>
      <c r="AB35" s="85"/>
      <c r="AC35" s="85"/>
      <c r="AD35" s="85"/>
      <c r="AE35" s="85"/>
      <c r="AF35" s="85"/>
      <c r="AG35" s="85"/>
      <c r="AH35" s="85"/>
      <c r="AI35" s="85"/>
    </row>
    <row r="36" spans="1:35" x14ac:dyDescent="0.35">
      <c r="A36" s="85"/>
      <c r="B36" s="85"/>
      <c r="C36" s="85"/>
      <c r="D36" s="85"/>
      <c r="E36" s="85"/>
      <c r="F36" s="85"/>
      <c r="G36" s="85"/>
      <c r="H36" s="85"/>
      <c r="I36" s="85"/>
      <c r="J36" s="85"/>
      <c r="K36" s="85"/>
      <c r="L36" s="85"/>
      <c r="M36" s="85"/>
      <c r="N36" s="85"/>
      <c r="O36" s="85"/>
      <c r="P36" s="85"/>
      <c r="Q36" s="85"/>
      <c r="R36" s="85"/>
      <c r="S36" s="85"/>
      <c r="T36" s="85"/>
      <c r="U36" s="85"/>
      <c r="V36" s="85"/>
      <c r="W36" s="85"/>
      <c r="X36" s="85"/>
      <c r="Y36" s="85"/>
      <c r="Z36" s="85"/>
      <c r="AA36" s="85"/>
      <c r="AB36" s="85"/>
      <c r="AC36" s="85"/>
      <c r="AD36" s="85"/>
      <c r="AE36" s="85"/>
      <c r="AF36" s="85"/>
      <c r="AG36" s="85"/>
      <c r="AH36" s="85"/>
      <c r="AI36" s="85"/>
    </row>
    <row r="37" spans="1:35" x14ac:dyDescent="0.35">
      <c r="A37" s="85"/>
      <c r="B37" s="85"/>
      <c r="C37" s="85"/>
      <c r="D37" s="85"/>
      <c r="E37" s="85"/>
      <c r="F37" s="85"/>
      <c r="G37" s="85"/>
      <c r="H37" s="85"/>
      <c r="I37" s="85"/>
      <c r="J37" s="85"/>
      <c r="K37" s="85"/>
      <c r="L37" s="85"/>
      <c r="M37" s="85"/>
      <c r="N37" s="85"/>
      <c r="O37" s="85"/>
      <c r="P37" s="85"/>
      <c r="Q37" s="85"/>
      <c r="R37" s="85"/>
      <c r="S37" s="85"/>
      <c r="T37" s="85"/>
      <c r="U37" s="85"/>
      <c r="V37" s="85"/>
      <c r="W37" s="85"/>
      <c r="X37" s="85"/>
      <c r="Y37" s="85"/>
      <c r="Z37" s="85"/>
      <c r="AA37" s="85"/>
      <c r="AB37" s="85"/>
      <c r="AC37" s="85"/>
      <c r="AD37" s="85"/>
      <c r="AE37" s="85"/>
      <c r="AF37" s="85"/>
      <c r="AG37" s="85"/>
      <c r="AH37" s="85"/>
      <c r="AI37" s="85"/>
    </row>
    <row r="38" spans="1:35" x14ac:dyDescent="0.35">
      <c r="A38" s="85"/>
      <c r="B38" s="85"/>
      <c r="C38" s="85"/>
      <c r="D38" s="85"/>
      <c r="E38" s="85"/>
      <c r="F38" s="85"/>
      <c r="G38" s="85"/>
      <c r="H38" s="85"/>
      <c r="I38" s="85"/>
      <c r="J38" s="85"/>
      <c r="K38" s="85"/>
      <c r="L38" s="85"/>
      <c r="M38" s="85"/>
      <c r="N38" s="85"/>
      <c r="O38" s="85"/>
      <c r="P38" s="85"/>
      <c r="Q38" s="85"/>
      <c r="R38" s="85"/>
      <c r="S38" s="85"/>
      <c r="T38" s="85"/>
      <c r="U38" s="85"/>
      <c r="V38" s="85"/>
      <c r="W38" s="85"/>
      <c r="X38" s="85"/>
      <c r="Y38" s="85"/>
      <c r="Z38" s="85"/>
      <c r="AA38" s="85"/>
      <c r="AB38" s="85"/>
      <c r="AC38" s="85"/>
      <c r="AD38" s="85"/>
      <c r="AE38" s="85"/>
      <c r="AF38" s="85"/>
      <c r="AG38" s="85"/>
      <c r="AH38" s="85"/>
      <c r="AI38" s="85"/>
    </row>
    <row r="39" spans="1:35" x14ac:dyDescent="0.35">
      <c r="A39" s="85"/>
      <c r="B39" s="85"/>
      <c r="C39" s="85"/>
      <c r="D39" s="85"/>
      <c r="E39" s="85"/>
      <c r="F39" s="85"/>
      <c r="G39" s="85"/>
      <c r="H39" s="85"/>
      <c r="I39" s="85"/>
      <c r="J39" s="85"/>
      <c r="K39" s="85"/>
      <c r="L39" s="85"/>
      <c r="M39" s="85"/>
      <c r="N39" s="85"/>
      <c r="O39" s="85"/>
      <c r="P39" s="85"/>
      <c r="Q39" s="85"/>
      <c r="R39" s="85"/>
      <c r="S39" s="85"/>
      <c r="T39" s="85"/>
      <c r="U39" s="85"/>
      <c r="V39" s="85"/>
      <c r="W39" s="85"/>
      <c r="X39" s="85"/>
      <c r="Y39" s="85"/>
      <c r="Z39" s="85"/>
      <c r="AA39" s="85"/>
      <c r="AB39" s="85"/>
      <c r="AC39" s="85"/>
      <c r="AD39" s="85"/>
      <c r="AE39" s="85"/>
      <c r="AF39" s="85"/>
      <c r="AG39" s="85"/>
      <c r="AH39" s="85"/>
      <c r="AI39" s="85"/>
    </row>
    <row r="40" spans="1:35" x14ac:dyDescent="0.35">
      <c r="A40" s="85"/>
      <c r="B40" s="85"/>
      <c r="C40" s="85"/>
      <c r="D40" s="85"/>
      <c r="E40" s="85"/>
      <c r="F40" s="85"/>
      <c r="G40" s="85"/>
      <c r="H40" s="85"/>
      <c r="I40" s="85"/>
      <c r="J40" s="85"/>
      <c r="K40" s="85"/>
      <c r="L40" s="85"/>
      <c r="M40" s="85"/>
      <c r="N40" s="85"/>
      <c r="O40" s="85"/>
      <c r="P40" s="85"/>
      <c r="Q40" s="85"/>
      <c r="R40" s="85"/>
      <c r="S40" s="85"/>
      <c r="T40" s="85"/>
      <c r="U40" s="85"/>
      <c r="V40" s="85"/>
      <c r="W40" s="85"/>
      <c r="X40" s="85"/>
      <c r="Y40" s="85"/>
      <c r="Z40" s="85"/>
      <c r="AA40" s="85"/>
      <c r="AB40" s="85"/>
      <c r="AC40" s="85"/>
      <c r="AD40" s="85"/>
      <c r="AE40" s="85"/>
      <c r="AF40" s="85"/>
      <c r="AG40" s="85"/>
      <c r="AH40" s="85"/>
      <c r="AI40" s="85"/>
    </row>
    <row r="41" spans="1:35" x14ac:dyDescent="0.35">
      <c r="A41" s="85"/>
      <c r="B41" s="85"/>
      <c r="C41" s="85"/>
      <c r="D41" s="85"/>
      <c r="E41" s="85"/>
      <c r="F41" s="85"/>
      <c r="G41" s="85"/>
      <c r="H41" s="85"/>
      <c r="I41" s="85"/>
      <c r="J41" s="85"/>
      <c r="K41" s="85"/>
      <c r="L41" s="85"/>
      <c r="M41" s="85"/>
      <c r="N41" s="85"/>
      <c r="O41" s="85"/>
      <c r="P41" s="85"/>
      <c r="Q41" s="85"/>
      <c r="R41" s="85"/>
      <c r="S41" s="85"/>
      <c r="T41" s="85"/>
      <c r="U41" s="85"/>
      <c r="V41" s="85"/>
      <c r="W41" s="85"/>
      <c r="X41" s="85"/>
      <c r="Y41" s="85"/>
      <c r="Z41" s="85"/>
      <c r="AA41" s="85"/>
      <c r="AB41" s="85"/>
      <c r="AC41" s="85"/>
      <c r="AD41" s="85"/>
      <c r="AE41" s="85"/>
      <c r="AF41" s="85"/>
      <c r="AG41" s="85"/>
      <c r="AH41" s="85"/>
      <c r="AI41" s="85"/>
    </row>
    <row r="42" spans="1:35" x14ac:dyDescent="0.35">
      <c r="A42" s="85"/>
      <c r="B42" s="85"/>
      <c r="C42" s="85"/>
      <c r="D42" s="85"/>
      <c r="E42" s="85"/>
      <c r="F42" s="85"/>
      <c r="G42" s="85"/>
      <c r="H42" s="85"/>
      <c r="I42" s="85"/>
      <c r="J42" s="85"/>
      <c r="K42" s="85"/>
      <c r="L42" s="85"/>
      <c r="M42" s="85"/>
      <c r="N42" s="85"/>
      <c r="O42" s="85"/>
      <c r="P42" s="85"/>
      <c r="Q42" s="85"/>
      <c r="R42" s="85"/>
      <c r="S42" s="85"/>
      <c r="T42" s="85"/>
      <c r="U42" s="85"/>
      <c r="V42" s="85"/>
      <c r="W42" s="85"/>
      <c r="X42" s="85"/>
      <c r="Y42" s="85"/>
      <c r="Z42" s="85"/>
      <c r="AA42" s="85"/>
      <c r="AB42" s="85"/>
      <c r="AC42" s="85"/>
      <c r="AD42" s="85"/>
      <c r="AE42" s="85"/>
      <c r="AF42" s="85"/>
      <c r="AG42" s="85"/>
      <c r="AH42" s="85"/>
      <c r="AI42" s="85"/>
    </row>
    <row r="43" spans="1:35" x14ac:dyDescent="0.35">
      <c r="A43" s="85"/>
      <c r="B43" s="85"/>
      <c r="C43" s="85"/>
      <c r="D43" s="85"/>
      <c r="E43" s="85"/>
      <c r="F43" s="85"/>
      <c r="G43" s="85"/>
      <c r="H43" s="85"/>
      <c r="I43" s="85"/>
      <c r="J43" s="85"/>
      <c r="K43" s="85"/>
      <c r="L43" s="85"/>
      <c r="M43" s="85"/>
      <c r="N43" s="85"/>
      <c r="O43" s="85"/>
      <c r="P43" s="85"/>
      <c r="Q43" s="85"/>
      <c r="R43" s="85"/>
      <c r="S43" s="85"/>
      <c r="T43" s="85"/>
      <c r="U43" s="85"/>
      <c r="V43" s="85"/>
      <c r="W43" s="85"/>
      <c r="X43" s="85"/>
      <c r="Y43" s="85"/>
      <c r="Z43" s="85"/>
      <c r="AA43" s="85"/>
      <c r="AB43" s="85"/>
      <c r="AC43" s="85"/>
      <c r="AD43" s="85"/>
      <c r="AE43" s="85"/>
      <c r="AF43" s="85"/>
      <c r="AG43" s="85"/>
      <c r="AH43" s="85"/>
      <c r="AI43" s="85"/>
    </row>
    <row r="44" spans="1:35" x14ac:dyDescent="0.35">
      <c r="A44" s="85"/>
      <c r="B44" s="85"/>
      <c r="C44" s="85"/>
      <c r="D44" s="85"/>
      <c r="E44" s="85"/>
      <c r="F44" s="85"/>
      <c r="G44" s="85"/>
      <c r="H44" s="85"/>
      <c r="I44" s="85"/>
      <c r="J44" s="85"/>
      <c r="K44" s="85"/>
      <c r="L44" s="85"/>
      <c r="M44" s="85"/>
      <c r="N44" s="85"/>
      <c r="O44" s="85"/>
      <c r="P44" s="85"/>
      <c r="Q44" s="85"/>
      <c r="R44" s="85"/>
      <c r="S44" s="85"/>
      <c r="T44" s="85"/>
      <c r="U44" s="85"/>
      <c r="V44" s="85"/>
      <c r="W44" s="85"/>
      <c r="X44" s="85"/>
      <c r="Y44" s="85"/>
      <c r="Z44" s="85"/>
      <c r="AA44" s="85"/>
      <c r="AB44" s="85"/>
      <c r="AC44" s="85"/>
      <c r="AD44" s="85"/>
      <c r="AE44" s="85"/>
      <c r="AF44" s="85"/>
      <c r="AG44" s="85"/>
      <c r="AH44" s="85"/>
      <c r="AI44" s="85"/>
    </row>
    <row r="45" spans="1:35" x14ac:dyDescent="0.35">
      <c r="A45" s="85"/>
      <c r="B45" s="85"/>
      <c r="C45" s="85"/>
      <c r="D45" s="85"/>
      <c r="E45" s="85"/>
      <c r="F45" s="85"/>
      <c r="G45" s="85"/>
      <c r="H45" s="85"/>
      <c r="I45" s="85"/>
      <c r="J45" s="85"/>
      <c r="K45" s="85"/>
      <c r="L45" s="85"/>
      <c r="M45" s="85"/>
      <c r="N45" s="85"/>
      <c r="O45" s="85"/>
      <c r="P45" s="85"/>
      <c r="Q45" s="85"/>
      <c r="R45" s="85"/>
      <c r="S45" s="85"/>
      <c r="T45" s="85"/>
      <c r="U45" s="85"/>
      <c r="V45" s="85"/>
      <c r="W45" s="85"/>
      <c r="X45" s="85"/>
      <c r="Y45" s="85"/>
      <c r="Z45" s="85"/>
      <c r="AA45" s="85"/>
      <c r="AB45" s="85"/>
      <c r="AC45" s="85"/>
      <c r="AD45" s="85"/>
      <c r="AE45" s="85"/>
      <c r="AF45" s="85"/>
      <c r="AG45" s="85"/>
      <c r="AH45" s="85"/>
      <c r="AI45" s="85"/>
    </row>
    <row r="46" spans="1:35" x14ac:dyDescent="0.35">
      <c r="A46" s="85"/>
      <c r="B46" s="85"/>
      <c r="C46" s="85"/>
      <c r="D46" s="85"/>
      <c r="E46" s="85"/>
      <c r="F46" s="85"/>
      <c r="G46" s="85"/>
      <c r="H46" s="85"/>
      <c r="I46" s="85"/>
      <c r="J46" s="85"/>
      <c r="K46" s="85"/>
      <c r="L46" s="85"/>
      <c r="M46" s="85"/>
      <c r="N46" s="85"/>
      <c r="O46" s="85"/>
      <c r="P46" s="85"/>
      <c r="Q46" s="85"/>
      <c r="R46" s="85"/>
      <c r="S46" s="85"/>
      <c r="T46" s="85"/>
      <c r="U46" s="85"/>
      <c r="V46" s="85"/>
      <c r="W46" s="85"/>
      <c r="X46" s="85"/>
      <c r="Y46" s="85"/>
      <c r="Z46" s="85"/>
      <c r="AA46" s="85"/>
      <c r="AB46" s="85"/>
      <c r="AC46" s="85"/>
      <c r="AD46" s="85"/>
      <c r="AE46" s="85"/>
      <c r="AF46" s="85"/>
      <c r="AG46" s="85"/>
      <c r="AH46" s="85"/>
      <c r="AI46" s="85"/>
    </row>
    <row r="47" spans="1:35" x14ac:dyDescent="0.35">
      <c r="A47" s="85"/>
      <c r="B47" s="85"/>
      <c r="C47" s="85"/>
      <c r="D47" s="85"/>
      <c r="E47" s="85"/>
      <c r="F47" s="85"/>
      <c r="G47" s="85"/>
      <c r="H47" s="85"/>
      <c r="I47" s="85"/>
      <c r="J47" s="85"/>
      <c r="K47" s="85"/>
      <c r="L47" s="85"/>
      <c r="M47" s="85"/>
      <c r="N47" s="85"/>
      <c r="O47" s="85"/>
      <c r="P47" s="85"/>
      <c r="Q47" s="85"/>
      <c r="R47" s="85"/>
      <c r="S47" s="85"/>
      <c r="T47" s="85"/>
      <c r="U47" s="85"/>
      <c r="V47" s="85"/>
      <c r="W47" s="85"/>
      <c r="X47" s="85"/>
      <c r="Y47" s="85"/>
      <c r="Z47" s="85"/>
      <c r="AA47" s="85"/>
      <c r="AB47" s="85"/>
      <c r="AC47" s="85"/>
      <c r="AD47" s="85"/>
      <c r="AE47" s="85"/>
      <c r="AF47" s="85"/>
      <c r="AG47" s="85"/>
      <c r="AH47" s="85"/>
      <c r="AI47" s="85"/>
    </row>
    <row r="48" spans="1:35" x14ac:dyDescent="0.35">
      <c r="A48" s="85"/>
      <c r="B48" s="85"/>
      <c r="C48" s="85"/>
      <c r="D48" s="85"/>
      <c r="E48" s="85"/>
      <c r="F48" s="85"/>
      <c r="G48" s="85"/>
      <c r="H48" s="85"/>
      <c r="I48" s="85"/>
      <c r="J48" s="85"/>
      <c r="K48" s="85"/>
      <c r="L48" s="85"/>
      <c r="M48" s="85"/>
      <c r="N48" s="85"/>
      <c r="O48" s="85"/>
      <c r="P48" s="85"/>
      <c r="Q48" s="85"/>
      <c r="R48" s="85"/>
      <c r="S48" s="85"/>
      <c r="T48" s="85"/>
      <c r="U48" s="85"/>
      <c r="V48" s="85"/>
      <c r="W48" s="85"/>
      <c r="X48" s="85"/>
      <c r="Y48" s="85"/>
      <c r="Z48" s="85"/>
      <c r="AA48" s="85"/>
      <c r="AB48" s="85"/>
      <c r="AC48" s="85"/>
      <c r="AD48" s="85"/>
      <c r="AE48" s="85"/>
      <c r="AF48" s="85"/>
      <c r="AG48" s="85"/>
      <c r="AH48" s="85"/>
      <c r="AI48" s="85"/>
    </row>
    <row r="49" spans="1:35" x14ac:dyDescent="0.35">
      <c r="A49" s="85"/>
      <c r="B49" s="85"/>
      <c r="C49" s="85"/>
      <c r="D49" s="85"/>
      <c r="E49" s="85"/>
      <c r="F49" s="85"/>
      <c r="G49" s="85"/>
      <c r="H49" s="85"/>
      <c r="I49" s="85"/>
      <c r="J49" s="85"/>
      <c r="K49" s="85"/>
      <c r="L49" s="85"/>
      <c r="M49" s="85"/>
      <c r="N49" s="85"/>
      <c r="O49" s="85"/>
      <c r="P49" s="85"/>
      <c r="Q49" s="85"/>
      <c r="R49" s="85"/>
      <c r="S49" s="85"/>
      <c r="T49" s="85"/>
      <c r="U49" s="85"/>
      <c r="V49" s="85"/>
      <c r="W49" s="85"/>
      <c r="X49" s="85"/>
      <c r="Y49" s="85"/>
      <c r="Z49" s="85"/>
      <c r="AA49" s="85"/>
      <c r="AB49" s="85"/>
      <c r="AC49" s="85"/>
      <c r="AD49" s="85"/>
      <c r="AE49" s="85"/>
      <c r="AF49" s="85"/>
      <c r="AG49" s="85"/>
      <c r="AH49" s="85"/>
      <c r="AI49" s="85"/>
    </row>
    <row r="50" spans="1:35" x14ac:dyDescent="0.35">
      <c r="A50" s="85"/>
      <c r="B50" s="85"/>
      <c r="C50" s="85"/>
      <c r="D50" s="85"/>
      <c r="E50" s="85"/>
      <c r="F50" s="85"/>
      <c r="G50" s="85"/>
      <c r="H50" s="85"/>
      <c r="I50" s="85"/>
      <c r="J50" s="85"/>
      <c r="K50" s="85"/>
      <c r="L50" s="85"/>
      <c r="M50" s="85"/>
      <c r="N50" s="85"/>
      <c r="O50" s="85"/>
      <c r="P50" s="85"/>
      <c r="Q50" s="85"/>
      <c r="R50" s="85"/>
      <c r="S50" s="85"/>
      <c r="T50" s="85"/>
      <c r="U50" s="85"/>
      <c r="V50" s="85"/>
      <c r="W50" s="85"/>
      <c r="X50" s="85"/>
      <c r="Y50" s="85"/>
      <c r="Z50" s="85"/>
      <c r="AA50" s="85"/>
      <c r="AB50" s="85"/>
      <c r="AC50" s="85"/>
      <c r="AD50" s="85"/>
      <c r="AE50" s="85"/>
      <c r="AF50" s="85"/>
      <c r="AG50" s="85"/>
      <c r="AH50" s="85"/>
      <c r="AI50" s="85"/>
    </row>
    <row r="51" spans="1:35" x14ac:dyDescent="0.35">
      <c r="A51" s="85"/>
      <c r="B51" s="85"/>
      <c r="C51" s="85"/>
      <c r="D51" s="85"/>
      <c r="E51" s="85"/>
      <c r="F51" s="85"/>
      <c r="G51" s="85"/>
      <c r="H51" s="85"/>
      <c r="I51" s="85"/>
      <c r="J51" s="85"/>
      <c r="K51" s="85"/>
      <c r="L51" s="85"/>
      <c r="M51" s="85"/>
      <c r="N51" s="85"/>
      <c r="O51" s="85"/>
      <c r="P51" s="85"/>
      <c r="Q51" s="85"/>
      <c r="R51" s="85"/>
      <c r="S51" s="85"/>
      <c r="T51" s="85"/>
      <c r="U51" s="85"/>
      <c r="V51" s="85"/>
      <c r="W51" s="85"/>
      <c r="X51" s="85"/>
      <c r="Y51" s="85"/>
      <c r="Z51" s="85"/>
      <c r="AA51" s="85"/>
      <c r="AB51" s="85"/>
      <c r="AC51" s="85"/>
      <c r="AD51" s="85"/>
      <c r="AE51" s="85"/>
      <c r="AF51" s="85"/>
      <c r="AG51" s="85"/>
      <c r="AH51" s="85"/>
      <c r="AI51" s="85"/>
    </row>
    <row r="52" spans="1:35" x14ac:dyDescent="0.35">
      <c r="A52" s="85"/>
      <c r="B52" s="85"/>
      <c r="C52" s="85"/>
      <c r="D52" s="85"/>
      <c r="E52" s="85"/>
      <c r="F52" s="85"/>
      <c r="G52" s="85"/>
      <c r="H52" s="85"/>
      <c r="I52" s="85"/>
      <c r="J52" s="85"/>
      <c r="K52" s="85"/>
      <c r="L52" s="85"/>
      <c r="M52" s="85"/>
      <c r="N52" s="85"/>
      <c r="O52" s="85"/>
      <c r="P52" s="85"/>
      <c r="Q52" s="85"/>
      <c r="R52" s="85"/>
      <c r="S52" s="85"/>
      <c r="T52" s="85"/>
      <c r="U52" s="85"/>
      <c r="V52" s="85"/>
      <c r="W52" s="85"/>
      <c r="X52" s="85"/>
      <c r="Y52" s="85"/>
      <c r="Z52" s="85"/>
      <c r="AA52" s="85"/>
      <c r="AB52" s="85"/>
      <c r="AC52" s="85"/>
      <c r="AD52" s="85"/>
      <c r="AE52" s="85"/>
      <c r="AF52" s="85"/>
      <c r="AG52" s="85"/>
      <c r="AH52" s="85"/>
      <c r="AI52" s="85"/>
    </row>
    <row r="53" spans="1:35" x14ac:dyDescent="0.35">
      <c r="A53" s="85"/>
      <c r="B53" s="85"/>
      <c r="C53" s="85"/>
      <c r="D53" s="85"/>
      <c r="E53" s="85"/>
      <c r="F53" s="85"/>
      <c r="G53" s="85"/>
      <c r="H53" s="85"/>
      <c r="I53" s="85"/>
      <c r="J53" s="85"/>
      <c r="K53" s="85"/>
      <c r="L53" s="85"/>
      <c r="M53" s="85"/>
      <c r="N53" s="85"/>
      <c r="O53" s="85"/>
      <c r="P53" s="85"/>
      <c r="Q53" s="85"/>
      <c r="R53" s="85"/>
      <c r="S53" s="85"/>
      <c r="T53" s="85"/>
      <c r="U53" s="85"/>
      <c r="V53" s="85"/>
      <c r="W53" s="85"/>
      <c r="X53" s="85"/>
      <c r="Y53" s="85"/>
      <c r="Z53" s="85"/>
      <c r="AA53" s="85"/>
      <c r="AB53" s="85"/>
      <c r="AC53" s="85"/>
      <c r="AD53" s="85"/>
      <c r="AE53" s="85"/>
      <c r="AF53" s="85"/>
      <c r="AG53" s="85"/>
      <c r="AH53" s="85"/>
      <c r="AI53" s="85"/>
    </row>
    <row r="54" spans="1:35" x14ac:dyDescent="0.35">
      <c r="A54" s="85"/>
      <c r="B54" s="85"/>
      <c r="C54" s="85"/>
      <c r="D54" s="85"/>
      <c r="E54" s="85"/>
      <c r="F54" s="85"/>
      <c r="G54" s="85"/>
      <c r="H54" s="85"/>
      <c r="I54" s="85"/>
      <c r="J54" s="85"/>
      <c r="K54" s="85"/>
      <c r="L54" s="85"/>
      <c r="M54" s="85"/>
      <c r="N54" s="85"/>
      <c r="O54" s="85"/>
      <c r="P54" s="85"/>
      <c r="Q54" s="85"/>
      <c r="R54" s="85"/>
      <c r="S54" s="85"/>
      <c r="T54" s="85"/>
      <c r="U54" s="85"/>
      <c r="V54" s="85"/>
      <c r="W54" s="85"/>
      <c r="X54" s="85"/>
      <c r="Y54" s="85"/>
      <c r="Z54" s="85"/>
      <c r="AA54" s="85"/>
      <c r="AB54" s="85"/>
      <c r="AC54" s="85"/>
      <c r="AD54" s="85"/>
      <c r="AE54" s="85"/>
      <c r="AF54" s="85"/>
      <c r="AG54" s="85"/>
      <c r="AH54" s="85"/>
      <c r="AI54" s="85"/>
    </row>
    <row r="55" spans="1:35" x14ac:dyDescent="0.35">
      <c r="A55" s="85"/>
      <c r="B55" s="85"/>
      <c r="C55" s="85"/>
      <c r="D55" s="85"/>
      <c r="E55" s="85"/>
      <c r="F55" s="85"/>
      <c r="G55" s="85"/>
      <c r="H55" s="85"/>
      <c r="I55" s="85"/>
      <c r="J55" s="85"/>
      <c r="K55" s="85"/>
      <c r="L55" s="85"/>
      <c r="M55" s="85"/>
      <c r="N55" s="85"/>
      <c r="O55" s="85"/>
      <c r="P55" s="85"/>
      <c r="Q55" s="85"/>
      <c r="R55" s="85"/>
      <c r="S55" s="85"/>
      <c r="T55" s="85"/>
      <c r="U55" s="85"/>
      <c r="V55" s="85"/>
      <c r="W55" s="85"/>
      <c r="X55" s="85"/>
      <c r="Y55" s="85"/>
      <c r="Z55" s="85"/>
      <c r="AA55" s="85"/>
      <c r="AB55" s="85"/>
      <c r="AC55" s="85"/>
      <c r="AD55" s="85"/>
      <c r="AE55" s="85"/>
      <c r="AF55" s="85"/>
      <c r="AG55" s="85"/>
      <c r="AH55" s="85"/>
      <c r="AI55" s="85"/>
    </row>
  </sheetData>
  <mergeCells count="1">
    <mergeCell ref="A1:AI55"/>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AFAF2D1-34DD-482E-A067-46DFA808EA0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RAW DATA</vt:lpstr>
      <vt:lpstr>AGE GROUP COUNT</vt:lpstr>
      <vt:lpstr>AVERAGE SALARY</vt:lpstr>
      <vt:lpstr>MOST EXPERIENCED DEPARTMENT</vt:lpstr>
      <vt:lpstr>ANALYSIS</vt:lpstr>
      <vt:lpstr>EMPLOYEES OF DEPARTMENT</vt:lpstr>
      <vt:lpstr>INSIGHTS</vt:lpstr>
      <vt:lpstr>CHANGE LOG</vt:lpstr>
      <vt:lpstr>QUESTIONS</vt:lpstr>
      <vt:lpstr>MANAGERS AND NON MANAGERS</vt:lpstr>
      <vt:lpstr>Sheet1</vt:lpstr>
      <vt:lpstr>CLEANED 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dc:creator>
  <cp:lastModifiedBy>LENOVO</cp:lastModifiedBy>
  <dcterms:created xsi:type="dcterms:W3CDTF">2026-09-11T15:29:20Z</dcterms:created>
  <dcterms:modified xsi:type="dcterms:W3CDTF">2026-09-16T07:21:52Z</dcterms:modified>
</cp:coreProperties>
</file>